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RGitRep\Docs\"/>
    </mc:Choice>
  </mc:AlternateContent>
  <xr:revisionPtr revIDLastSave="0" documentId="8_{2B0A3433-696F-4E72-A1C7-74B46B28E4F0}" xr6:coauthVersionLast="47" xr6:coauthVersionMax="47" xr10:uidLastSave="{00000000-0000-0000-0000-000000000000}"/>
  <bookViews>
    <workbookView xWindow="28680" yWindow="-120" windowWidth="29040" windowHeight="15720" xr2:uid="{C50BC428-7ADB-464C-8292-052325D8144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2" i="1" l="1"/>
  <c r="J21" i="1" s="1"/>
  <c r="K21" i="1"/>
  <c r="L21" i="1"/>
  <c r="M21" i="1"/>
  <c r="N21" i="1"/>
  <c r="O21" i="1"/>
  <c r="P21" i="1"/>
  <c r="Q21" i="1"/>
  <c r="D2" i="1"/>
  <c r="F2" i="1" s="1"/>
  <c r="J22" i="1" l="1"/>
  <c r="Q22" i="1"/>
  <c r="M22" i="1"/>
  <c r="P22" i="1"/>
  <c r="L22" i="1"/>
  <c r="K22" i="1"/>
  <c r="O22" i="1"/>
  <c r="N22" i="1"/>
</calcChain>
</file>

<file path=xl/sharedStrings.xml><?xml version="1.0" encoding="utf-8"?>
<sst xmlns="http://schemas.openxmlformats.org/spreadsheetml/2006/main" count="48" uniqueCount="47">
  <si>
    <t>Aluguel</t>
  </si>
  <si>
    <t>Pensão</t>
  </si>
  <si>
    <t>Pai</t>
  </si>
  <si>
    <t>Ranger</t>
  </si>
  <si>
    <t>Convenio</t>
  </si>
  <si>
    <t>Luz</t>
  </si>
  <si>
    <t>Terapia</t>
  </si>
  <si>
    <t>Impostos</t>
  </si>
  <si>
    <t>Contas Fixas</t>
  </si>
  <si>
    <t>Total</t>
  </si>
  <si>
    <t>Salario médio</t>
  </si>
  <si>
    <t>Cartão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</si>
  <si>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</si>
  <si>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</si>
  <si>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</si>
  <si>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</si>
  <si>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</si>
  <si>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</si>
  <si>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</si>
  <si>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</si>
  <si>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Netflix</t>
  </si>
  <si>
    <t>Microsoft</t>
  </si>
  <si>
    <t>Prime</t>
  </si>
  <si>
    <t>Crunchy</t>
  </si>
  <si>
    <t>Apple</t>
  </si>
  <si>
    <t>Spotify</t>
  </si>
  <si>
    <t>Youtube</t>
  </si>
  <si>
    <t>Saldo Cartão</t>
  </si>
  <si>
    <t>Saldo real</t>
  </si>
  <si>
    <t>Grão Gourmet</t>
  </si>
  <si>
    <t>Utilizado Extra</t>
  </si>
  <si>
    <t>Parcelas</t>
  </si>
  <si>
    <t>Celular</t>
  </si>
  <si>
    <t>Tarifa banco</t>
  </si>
  <si>
    <t>Revisão moto</t>
  </si>
  <si>
    <t>Passagem Aerea</t>
  </si>
  <si>
    <t>Relogio</t>
  </si>
  <si>
    <t>Rampa moto</t>
  </si>
  <si>
    <t>Bota moto</t>
  </si>
  <si>
    <t>Sofa</t>
  </si>
  <si>
    <t>TV</t>
  </si>
  <si>
    <t>Regua Sinalização</t>
  </si>
  <si>
    <t>Rampa moto aux</t>
  </si>
  <si>
    <t>Capa chuva</t>
  </si>
  <si>
    <t>Recorrentes</t>
  </si>
  <si>
    <t>Financ. Moto</t>
  </si>
  <si>
    <t>Seguro 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</si>
</sst>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2" fontId="0" fillId="0" borderId="0" xfId="0" applyNumberFormat="1"/>
    <xf numFmtId="43" fontId="0" fillId="0" borderId="1" xfId="1" applyFont="1" applyBorder="1"/>
    <xf numFmtId="43" fontId="0" fillId="0" borderId="2" xfId="1" applyFont="1" applyBorder="1"/>
    <xf numFmtId="43" fontId="0" fillId="0" borderId="0" xfId="1" applyFont="1" applyBorder="1"/>
    <xf numFmtId="43" fontId="0" fillId="0" borderId="4" xfId="1" applyFont="1" applyBorder="1"/>
    <xf numFmtId="43" fontId="0" fillId="0" borderId="6" xfId="1" applyFont="1" applyBorder="1"/>
    <xf numFmtId="43" fontId="0" fillId="0" borderId="7" xfId="1" applyFont="1" applyBorder="1"/>
    <xf numFmtId="0" fontId="2" fillId="0" borderId="3" xfId="0" applyFont="1" applyBorder="1"/>
    <xf numFmtId="0" fontId="0" fillId="2" borderId="8" xfId="0" applyFill="1" applyBorder="1"/>
    <xf numFmtId="43" fontId="0" fillId="3" borderId="9" xfId="1" applyFont="1" applyFill="1" applyBorder="1"/>
    <xf numFmtId="43" fontId="0" fillId="3" borderId="10" xfId="1" applyFont="1" applyFill="1" applyBorder="1"/>
    <xf numFmtId="0" fontId="0" fillId="2" borderId="11" xfId="0" applyFill="1" applyBorder="1"/>
    <xf numFmtId="43" fontId="2" fillId="2" borderId="12" xfId="1" applyFont="1" applyFill="1" applyBorder="1"/>
    <xf numFmtId="43" fontId="2" fillId="2" borderId="13" xfId="1" applyFont="1" applyFill="1" applyBorder="1"/>
    <xf numFmtId="0" fontId="0" fillId="2" borderId="9" xfId="0" applyFill="1" applyBorder="1"/>
    <xf numFmtId="0" fontId="0" fillId="2" borderId="10" xfId="0" applyFill="1" applyBorder="1"/>
    <xf numFmtId="2" fontId="2" fillId="2" borderId="8" xfId="0" applyNumberFormat="1" applyFont="1" applyFill="1" applyBorder="1"/>
    <xf numFmtId="0" fontId="0" fillId="0" borderId="1" xfId="0" applyBorder="1"/>
    <xf numFmtId="43" fontId="2" fillId="0" borderId="0" xfId="1" applyFont="1" applyBorder="1"/>
    <xf numFmtId="2" fontId="0" fillId="0" borderId="3" xfId="0" applyNumberFormat="1" applyBorder="1"/>
    <xf numFmtId="2" fontId="0" fillId="0" borderId="5" xfId="0" applyNumberFormat="1" applyBorder="1"/>
    <xf numFmtId="0" fontId="0" fillId="0" borderId="6" xfId="0" applyBorder="1"/>
    <xf numFmtId="0" fontId="2" fillId="0" borderId="14" xfId="0" applyFont="1" applyBorder="1"/>
    <xf numFmtId="43" fontId="2" fillId="0" borderId="15" xfId="1" applyFont="1" applyBorder="1"/>
    <xf numFmtId="43" fontId="2" fillId="0" borderId="16" xfId="1" applyFont="1" applyBorder="1"/>
    <xf numFmtId="43" fontId="2" fillId="0" borderId="4" xfId="1" applyFont="1" applyBorder="1"/>
    <xf numFmtId="43" fontId="2" fillId="0" borderId="7" xfId="1" applyFont="1" applyBorder="1"/>
    <xf numFmtId="0" fontId="2" fillId="2" borderId="19" xfId="0" applyFont="1" applyFill="1" applyBorder="1"/>
    <xf numFmtId="0" fontId="2" fillId="0" borderId="20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0CCA-2B2A-4CAB-BBA8-DC21A77D5C0E}">
  <dimension ref="B1:Q22"/>
  <sheetViews>
    <sheetView tabSelected="1" workbookViewId="0">
      <selection activeCell="C10" sqref="C10"/>
    </sheetView>
  </sheetViews>
  <sheetFormatPr defaultRowHeight="14.4" x14ac:dyDescent="0.3"/>
  <cols>
    <col min="2" max="2" width="12.44140625" style="1" bestFit="1" customWidth="1"/>
    <col min="3" max="3" width="9.33203125" customWidth="1"/>
    <col min="4" max="4" width="10.5546875" bestFit="1" customWidth="1"/>
    <col min="5" max="5" width="13.5546875" bestFit="1" customWidth="1"/>
    <col min="6" max="6" width="12.33203125" bestFit="1" customWidth="1"/>
    <col min="8" max="8" width="12.88671875" customWidth="1"/>
    <col min="9" max="9" width="17.33203125" bestFit="1" customWidth="1"/>
    <col min="10" max="17" width="10.109375" customWidth="1"/>
  </cols>
  <sheetData>
    <row r="1" spans="2:17" ht="15" thickBot="1" x14ac:dyDescent="0.35">
      <c r="B1" s="17" t="s">
        <v>8</v>
      </c>
      <c r="C1" s="15"/>
      <c r="D1" s="15" t="s">
        <v>9</v>
      </c>
      <c r="E1" s="15" t="s">
        <v>10</v>
      </c>
      <c r="F1" s="15" t="s">
        <v>27</v>
      </c>
      <c r="G1" s="18"/>
      <c r="H1" s="18"/>
      <c r="I1" s="28" t="s">
        <v>11</v>
      </c>
      <c r="J1" s="15" t="s">
        <v>12</v>
      </c>
      <c r="K1" s="15" t="s">
        <v>13</v>
      </c>
      <c r="L1" s="15" t="s">
        <v>14</v>
      </c>
      <c r="M1" s="15" t="s">
        <v>15</v>
      </c>
      <c r="N1" s="15" t="s">
        <v>16</v>
      </c>
      <c r="O1" s="15" t="s">
        <v>17</v>
      </c>
      <c r="P1" s="15" t="s">
        <v>18</v>
      </c>
      <c r="Q1" s="16" t="s">
        <v>19</v>
      </c>
    </row>
    <row r="2" spans="2:17" x14ac:dyDescent="0.3">
      <c r="B2" s="8" t="s">
        <v>0</v>
      </c>
      <c r="C2" s="4">
        <v>3200</v>
      </c>
      <c r="D2" s="4">
        <f>SUM(C:C)</f>
        <v>17022.45</v>
      </c>
      <c r="E2" s="4">
        <v>21000</v>
      </c>
      <c r="F2" s="19">
        <f>E2-D2</f>
        <v>3977.5499999999993</v>
      </c>
      <c r="H2" s="32" t="s">
        <v>31</v>
      </c>
      <c r="I2" s="29" t="s">
        <v>43</v>
      </c>
      <c r="J2" s="4">
        <v>35</v>
      </c>
      <c r="K2" s="4">
        <v>35</v>
      </c>
      <c r="L2" s="4"/>
      <c r="M2" s="4"/>
      <c r="N2" s="4"/>
      <c r="O2" s="4"/>
      <c r="P2" s="4"/>
      <c r="Q2" s="5"/>
    </row>
    <row r="3" spans="2:17" x14ac:dyDescent="0.3">
      <c r="B3" s="8" t="s">
        <v>45</v>
      </c>
      <c r="C3" s="4">
        <v>1450</v>
      </c>
      <c r="D3" s="4"/>
      <c r="E3" s="4"/>
      <c r="F3" s="4"/>
      <c r="H3" s="33"/>
      <c r="I3" s="30" t="s">
        <v>34</v>
      </c>
      <c r="J3" s="4">
        <v>300</v>
      </c>
      <c r="K3" s="4">
        <v>300</v>
      </c>
      <c r="L3" s="19"/>
      <c r="M3" s="4"/>
      <c r="N3" s="4"/>
      <c r="O3" s="4"/>
      <c r="P3" s="4"/>
      <c r="Q3" s="5"/>
    </row>
    <row r="4" spans="2:17" x14ac:dyDescent="0.3">
      <c r="B4" s="8" t="s">
        <v>46</v>
      </c>
      <c r="C4" s="4">
        <v>170</v>
      </c>
      <c r="D4" s="4"/>
      <c r="E4" s="4"/>
      <c r="F4" s="4"/>
      <c r="H4" s="33"/>
      <c r="I4" s="30" t="s">
        <v>42</v>
      </c>
      <c r="J4" s="4">
        <v>95</v>
      </c>
      <c r="K4" s="4"/>
      <c r="L4" s="4"/>
      <c r="M4" s="4"/>
      <c r="N4" s="4"/>
      <c r="O4" s="4"/>
      <c r="P4" s="4"/>
      <c r="Q4" s="5"/>
    </row>
    <row r="5" spans="2:17" x14ac:dyDescent="0.3">
      <c r="B5" s="8" t="s">
        <v>1</v>
      </c>
      <c r="C5" s="4">
        <v>4150.45</v>
      </c>
      <c r="D5" s="4"/>
      <c r="E5" s="4"/>
      <c r="F5" s="4"/>
      <c r="H5" s="33"/>
      <c r="I5" s="30" t="s">
        <v>41</v>
      </c>
      <c r="J5" s="4">
        <v>40</v>
      </c>
      <c r="K5" s="4">
        <v>40</v>
      </c>
      <c r="L5" s="4">
        <v>40</v>
      </c>
      <c r="M5" s="4"/>
      <c r="N5" s="4"/>
      <c r="O5" s="4"/>
      <c r="P5" s="4"/>
      <c r="Q5" s="5"/>
    </row>
    <row r="6" spans="2:17" x14ac:dyDescent="0.3">
      <c r="B6" s="8" t="s">
        <v>2</v>
      </c>
      <c r="C6" s="4">
        <v>2000</v>
      </c>
      <c r="D6" s="4"/>
      <c r="E6" s="4"/>
      <c r="F6" s="4"/>
      <c r="H6" s="33"/>
      <c r="I6" s="30" t="s">
        <v>36</v>
      </c>
      <c r="J6" s="4">
        <v>155</v>
      </c>
      <c r="K6" s="4">
        <v>155</v>
      </c>
      <c r="L6" s="4">
        <v>155</v>
      </c>
      <c r="M6" s="4">
        <v>155</v>
      </c>
      <c r="N6" s="4">
        <v>155</v>
      </c>
      <c r="O6" s="4">
        <v>155</v>
      </c>
      <c r="P6" s="4">
        <v>155</v>
      </c>
      <c r="Q6" s="26"/>
    </row>
    <row r="7" spans="2:17" x14ac:dyDescent="0.3">
      <c r="B7" s="8" t="s">
        <v>3</v>
      </c>
      <c r="C7" s="4">
        <v>1040</v>
      </c>
      <c r="D7" s="4"/>
      <c r="E7" s="4"/>
      <c r="F7" s="4"/>
      <c r="H7" s="33"/>
      <c r="I7" s="30" t="s">
        <v>37</v>
      </c>
      <c r="J7" s="4">
        <v>198</v>
      </c>
      <c r="K7" s="19"/>
      <c r="L7" s="4"/>
      <c r="M7" s="4"/>
      <c r="N7" s="4"/>
      <c r="O7" s="4"/>
      <c r="P7" s="4"/>
      <c r="Q7" s="5"/>
    </row>
    <row r="8" spans="2:17" x14ac:dyDescent="0.3">
      <c r="B8" s="8" t="s">
        <v>4</v>
      </c>
      <c r="C8" s="4">
        <v>750</v>
      </c>
      <c r="D8" s="4"/>
      <c r="E8" s="4"/>
      <c r="F8" s="4"/>
      <c r="H8" s="33"/>
      <c r="I8" s="30" t="s">
        <v>35</v>
      </c>
      <c r="J8" s="4">
        <v>466</v>
      </c>
      <c r="K8" s="4">
        <v>466</v>
      </c>
      <c r="L8" s="19"/>
      <c r="M8" s="4"/>
      <c r="N8" s="4"/>
      <c r="O8" s="4"/>
      <c r="P8" s="4"/>
      <c r="Q8" s="5"/>
    </row>
    <row r="9" spans="2:17" x14ac:dyDescent="0.3">
      <c r="B9" s="8" t="s">
        <v>5</v>
      </c>
      <c r="C9" s="4">
        <v>280</v>
      </c>
      <c r="D9" s="4"/>
      <c r="E9" s="4"/>
      <c r="F9" s="4"/>
      <c r="H9" s="33"/>
      <c r="I9" s="30" t="s">
        <v>38</v>
      </c>
      <c r="J9" s="4">
        <v>137</v>
      </c>
      <c r="K9" s="4">
        <v>137</v>
      </c>
      <c r="L9" s="4">
        <v>137</v>
      </c>
      <c r="M9" s="4">
        <v>137</v>
      </c>
      <c r="N9" s="19"/>
      <c r="O9" s="4"/>
      <c r="P9" s="4"/>
      <c r="Q9" s="5"/>
    </row>
    <row r="10" spans="2:17" x14ac:dyDescent="0.3">
      <c r="B10" s="8" t="s">
        <v>6</v>
      </c>
      <c r="C10" s="4">
        <v>400</v>
      </c>
      <c r="D10" s="4"/>
      <c r="E10" s="4"/>
      <c r="F10" s="4"/>
      <c r="H10" s="33"/>
      <c r="I10" s="30" t="s">
        <v>39</v>
      </c>
      <c r="J10" s="4">
        <v>190</v>
      </c>
      <c r="K10" s="4">
        <v>190</v>
      </c>
      <c r="L10" s="4">
        <v>190</v>
      </c>
      <c r="M10" s="4">
        <v>190</v>
      </c>
      <c r="N10" s="4">
        <v>190</v>
      </c>
      <c r="O10" s="4">
        <v>190</v>
      </c>
      <c r="P10" s="4">
        <v>190</v>
      </c>
      <c r="Q10" s="26"/>
    </row>
    <row r="11" spans="2:17" ht="15" thickBot="1" x14ac:dyDescent="0.35">
      <c r="B11" s="8" t="s">
        <v>7</v>
      </c>
      <c r="C11" s="4">
        <v>3300</v>
      </c>
      <c r="D11" s="4"/>
      <c r="E11" s="4"/>
      <c r="F11" s="4"/>
      <c r="H11" s="34"/>
      <c r="I11" s="31" t="s">
        <v>40</v>
      </c>
      <c r="J11" s="6">
        <v>190</v>
      </c>
      <c r="K11" s="6">
        <v>190</v>
      </c>
      <c r="L11" s="6">
        <v>190</v>
      </c>
      <c r="M11" s="6">
        <v>190</v>
      </c>
      <c r="N11" s="6">
        <v>190</v>
      </c>
      <c r="O11" s="6">
        <v>190</v>
      </c>
      <c r="P11" s="6">
        <v>190</v>
      </c>
      <c r="Q11" s="27"/>
    </row>
    <row r="12" spans="2:17" ht="15" thickBot="1" x14ac:dyDescent="0.35">
      <c r="B12" s="8" t="s">
        <v>32</v>
      </c>
      <c r="C12" s="4">
        <v>210</v>
      </c>
      <c r="D12" s="4"/>
      <c r="E12" s="4"/>
      <c r="F12" s="4"/>
      <c r="I12" s="23" t="s">
        <v>30</v>
      </c>
      <c r="J12" s="24">
        <f>118+796</f>
        <v>914</v>
      </c>
      <c r="K12" s="24"/>
      <c r="L12" s="24"/>
      <c r="M12" s="24"/>
      <c r="N12" s="24"/>
      <c r="O12" s="24"/>
      <c r="P12" s="24"/>
      <c r="Q12" s="25"/>
    </row>
    <row r="13" spans="2:17" x14ac:dyDescent="0.3">
      <c r="B13" s="8" t="s">
        <v>33</v>
      </c>
      <c r="C13" s="4">
        <v>72</v>
      </c>
      <c r="D13" s="4"/>
      <c r="E13" s="4"/>
      <c r="F13" s="4"/>
      <c r="H13" s="32" t="s">
        <v>44</v>
      </c>
      <c r="I13" s="29" t="s">
        <v>21</v>
      </c>
      <c r="J13" s="2">
        <v>63</v>
      </c>
      <c r="K13" s="2">
        <v>63</v>
      </c>
      <c r="L13" s="2">
        <v>63</v>
      </c>
      <c r="M13" s="2">
        <v>63</v>
      </c>
      <c r="N13" s="2">
        <v>63</v>
      </c>
      <c r="O13" s="2">
        <v>63</v>
      </c>
      <c r="P13" s="2">
        <v>63</v>
      </c>
      <c r="Q13" s="3">
        <v>63</v>
      </c>
    </row>
    <row r="14" spans="2:17" x14ac:dyDescent="0.3">
      <c r="B14" s="20"/>
      <c r="H14" s="33"/>
      <c r="I14" s="30" t="s">
        <v>20</v>
      </c>
      <c r="J14" s="4">
        <v>60</v>
      </c>
      <c r="K14" s="4">
        <v>60</v>
      </c>
      <c r="L14" s="4">
        <v>60</v>
      </c>
      <c r="M14" s="4">
        <v>60</v>
      </c>
      <c r="N14" s="4">
        <v>60</v>
      </c>
      <c r="O14" s="4">
        <v>60</v>
      </c>
      <c r="P14" s="4">
        <v>60</v>
      </c>
      <c r="Q14" s="5">
        <v>60</v>
      </c>
    </row>
    <row r="15" spans="2:17" x14ac:dyDescent="0.3">
      <c r="B15" s="20"/>
      <c r="H15" s="33"/>
      <c r="I15" s="30" t="s">
        <v>29</v>
      </c>
      <c r="J15" s="4">
        <v>96</v>
      </c>
      <c r="K15" s="4">
        <v>96</v>
      </c>
      <c r="L15" s="4">
        <v>96</v>
      </c>
      <c r="M15" s="4">
        <v>96</v>
      </c>
      <c r="N15" s="4">
        <v>96</v>
      </c>
      <c r="O15" s="4">
        <v>96</v>
      </c>
      <c r="P15" s="4">
        <v>96</v>
      </c>
      <c r="Q15" s="5">
        <v>96</v>
      </c>
    </row>
    <row r="16" spans="2:17" x14ac:dyDescent="0.3">
      <c r="B16" s="20"/>
      <c r="H16" s="33"/>
      <c r="I16" s="30" t="s">
        <v>22</v>
      </c>
      <c r="J16" s="4">
        <v>45</v>
      </c>
      <c r="K16" s="4">
        <v>45</v>
      </c>
      <c r="L16" s="4">
        <v>45</v>
      </c>
      <c r="M16" s="4">
        <v>45</v>
      </c>
      <c r="N16" s="4">
        <v>45</v>
      </c>
      <c r="O16" s="4">
        <v>45</v>
      </c>
      <c r="P16" s="4">
        <v>45</v>
      </c>
      <c r="Q16" s="5">
        <v>45</v>
      </c>
    </row>
    <row r="17" spans="2:17" x14ac:dyDescent="0.3">
      <c r="B17" s="20"/>
      <c r="H17" s="33"/>
      <c r="I17" s="30" t="s">
        <v>23</v>
      </c>
      <c r="J17" s="4">
        <v>25</v>
      </c>
      <c r="K17" s="4">
        <v>25</v>
      </c>
      <c r="L17" s="4">
        <v>25</v>
      </c>
      <c r="M17" s="4">
        <v>25</v>
      </c>
      <c r="N17" s="4">
        <v>25</v>
      </c>
      <c r="O17" s="4">
        <v>25</v>
      </c>
      <c r="P17" s="4">
        <v>25</v>
      </c>
      <c r="Q17" s="5">
        <v>25</v>
      </c>
    </row>
    <row r="18" spans="2:17" x14ac:dyDescent="0.3">
      <c r="B18" s="20"/>
      <c r="H18" s="33"/>
      <c r="I18" s="30" t="s">
        <v>24</v>
      </c>
      <c r="J18" s="4">
        <v>24</v>
      </c>
      <c r="K18" s="4">
        <v>24</v>
      </c>
      <c r="L18" s="4">
        <v>24</v>
      </c>
      <c r="M18" s="4">
        <v>24</v>
      </c>
      <c r="N18" s="4">
        <v>24</v>
      </c>
      <c r="O18" s="4">
        <v>24</v>
      </c>
      <c r="P18" s="4">
        <v>24</v>
      </c>
      <c r="Q18" s="5">
        <v>24</v>
      </c>
    </row>
    <row r="19" spans="2:17" x14ac:dyDescent="0.3">
      <c r="B19" s="20"/>
      <c r="H19" s="33"/>
      <c r="I19" s="30" t="s">
        <v>25</v>
      </c>
      <c r="J19" s="4">
        <v>41</v>
      </c>
      <c r="K19" s="4">
        <v>41</v>
      </c>
      <c r="L19" s="4">
        <v>41</v>
      </c>
      <c r="M19" s="4">
        <v>41</v>
      </c>
      <c r="N19" s="4">
        <v>41</v>
      </c>
      <c r="O19" s="4">
        <v>41</v>
      </c>
      <c r="P19" s="4">
        <v>41</v>
      </c>
      <c r="Q19" s="5">
        <v>41</v>
      </c>
    </row>
    <row r="20" spans="2:17" ht="15" thickBot="1" x14ac:dyDescent="0.35">
      <c r="B20" s="20"/>
      <c r="H20" s="34"/>
      <c r="I20" s="31" t="s">
        <v>26</v>
      </c>
      <c r="J20" s="6">
        <v>27</v>
      </c>
      <c r="K20" s="6">
        <v>27</v>
      </c>
      <c r="L20" s="6">
        <v>27</v>
      </c>
      <c r="M20" s="6">
        <v>27</v>
      </c>
      <c r="N20" s="6">
        <v>27</v>
      </c>
      <c r="O20" s="6">
        <v>27</v>
      </c>
      <c r="P20" s="6">
        <v>27</v>
      </c>
      <c r="Q20" s="7">
        <v>27</v>
      </c>
    </row>
    <row r="21" spans="2:17" x14ac:dyDescent="0.3">
      <c r="B21" s="20"/>
      <c r="I21" s="9" t="s">
        <v>9</v>
      </c>
      <c r="J21" s="10">
        <f t="shared" ref="J21:Q21" si="0">SUM(J2:J20)</f>
        <v>3101</v>
      </c>
      <c r="K21" s="10">
        <f t="shared" si="0"/>
        <v>1894</v>
      </c>
      <c r="L21" s="10">
        <f t="shared" si="0"/>
        <v>1093</v>
      </c>
      <c r="M21" s="10">
        <f t="shared" si="0"/>
        <v>1053</v>
      </c>
      <c r="N21" s="10">
        <f t="shared" si="0"/>
        <v>916</v>
      </c>
      <c r="O21" s="10">
        <f t="shared" si="0"/>
        <v>916</v>
      </c>
      <c r="P21" s="10">
        <f t="shared" si="0"/>
        <v>916</v>
      </c>
      <c r="Q21" s="11">
        <f t="shared" si="0"/>
        <v>381</v>
      </c>
    </row>
    <row r="22" spans="2:17" ht="15" thickBot="1" x14ac:dyDescent="0.35">
      <c r="B22" s="21"/>
      <c r="C22" s="22"/>
      <c r="D22" s="22"/>
      <c r="E22" s="22"/>
      <c r="F22" s="22"/>
      <c r="G22" s="22"/>
      <c r="H22" s="22"/>
      <c r="I22" s="12" t="s">
        <v>28</v>
      </c>
      <c r="J22" s="13">
        <f>$F$2-J21</f>
        <v>876.54999999999927</v>
      </c>
      <c r="K22" s="13">
        <f t="shared" ref="K22:Q22" si="1">$F$2-K21</f>
        <v>2083.5499999999993</v>
      </c>
      <c r="L22" s="13">
        <f t="shared" si="1"/>
        <v>2884.5499999999993</v>
      </c>
      <c r="M22" s="13">
        <f t="shared" si="1"/>
        <v>2924.5499999999993</v>
      </c>
      <c r="N22" s="13">
        <f t="shared" si="1"/>
        <v>3061.5499999999993</v>
      </c>
      <c r="O22" s="13">
        <f t="shared" si="1"/>
        <v>3061.5499999999993</v>
      </c>
      <c r="P22" s="13">
        <f t="shared" si="1"/>
        <v>3061.5499999999993</v>
      </c>
      <c r="Q22" s="14">
        <f t="shared" si="1"/>
        <v>3596.5499999999993</v>
      </c>
    </row>
  </sheetData>
  <mergeCells count="2">
    <mergeCell ref="H2:H11"/>
    <mergeCell ref="H13:H20"/>
  </mergeCells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Simões</dc:creator>
  <cp:lastModifiedBy>Nelson Simões</cp:lastModifiedBy>
  <dcterms:created xsi:type="dcterms:W3CDTF">2026-05-22T08:52:02Z</dcterms:created>
  <dcterms:modified xsi:type="dcterms:W3CDTF">2026-09-01T19:51:45Z</dcterms:modified>
</cp:coreProperties>
</file>