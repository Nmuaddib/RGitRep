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Meu Drive\Area de trabalho\OCs - Fornecedores\"/>
    </mc:Choice>
  </mc:AlternateContent>
  <xr:revisionPtr revIDLastSave="0" documentId="8_{C371CB2A-60ED-4C5A-AE47-30847C54ECCB}" xr6:coauthVersionLast="47" xr6:coauthVersionMax="47" xr10:uidLastSave="{00000000-0000-0000-0000-000000000000}"/>
  <bookViews>
    <workbookView xWindow="-120" yWindow="-120" windowWidth="29040" windowHeight="15720" xr2:uid="{4089AB9F-8958-4BA9-BC83-C272D4656E16}"/>
  </bookViews>
  <sheets>
    <sheet name="Summary" sheetId="7" r:id="rId1"/>
    <sheet name="Agosto 2024" sheetId="5" r:id="rId2"/>
    <sheet name="Vlookup" sheetId="6" r:id="rId3"/>
  </sheets>
  <definedNames>
    <definedName name="DadosExternos_1" localSheetId="1" hidden="1">'Agosto 2024'!$A$1:$U$43</definedName>
  </definedNames>
  <calcPr calcId="191029"/>
  <pivotCaches>
    <pivotCache cacheId="18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5" l="1"/>
  <c r="P40" i="5" s="1"/>
  <c r="R40" i="5"/>
  <c r="S40" i="5" s="1"/>
  <c r="U40" i="5"/>
  <c r="O41" i="5"/>
  <c r="P41" i="5"/>
  <c r="R41" i="5"/>
  <c r="S41" i="5" s="1"/>
  <c r="U41" i="5"/>
  <c r="O42" i="5"/>
  <c r="P42" i="5" s="1"/>
  <c r="R42" i="5"/>
  <c r="S42" i="5" s="1"/>
  <c r="U42" i="5"/>
  <c r="O43" i="5"/>
  <c r="P43" i="5" s="1"/>
  <c r="R43" i="5"/>
  <c r="S43" i="5"/>
  <c r="U43" i="5"/>
  <c r="P10" i="5"/>
  <c r="R10" i="5"/>
  <c r="S10" i="5" s="1"/>
  <c r="U10" i="5"/>
  <c r="P11" i="5"/>
  <c r="R11" i="5"/>
  <c r="S11" i="5"/>
  <c r="U11" i="5"/>
  <c r="P12" i="5"/>
  <c r="R12" i="5"/>
  <c r="S12" i="5" s="1"/>
  <c r="U12" i="5"/>
  <c r="P13" i="5"/>
  <c r="R13" i="5"/>
  <c r="S13" i="5" s="1"/>
  <c r="U13" i="5"/>
  <c r="P14" i="5"/>
  <c r="R14" i="5"/>
  <c r="S14" i="5" s="1"/>
  <c r="U14" i="5"/>
  <c r="P15" i="5"/>
  <c r="R15" i="5"/>
  <c r="S15" i="5"/>
  <c r="U15" i="5"/>
  <c r="P16" i="5"/>
  <c r="R16" i="5"/>
  <c r="S16" i="5" s="1"/>
  <c r="U16" i="5"/>
  <c r="P17" i="5"/>
  <c r="R17" i="5"/>
  <c r="S17" i="5" s="1"/>
  <c r="U17" i="5"/>
  <c r="P18" i="5"/>
  <c r="R18" i="5"/>
  <c r="S18" i="5"/>
  <c r="U18" i="5"/>
  <c r="P19" i="5"/>
  <c r="R19" i="5"/>
  <c r="S19" i="5" s="1"/>
  <c r="U19" i="5"/>
  <c r="P20" i="5"/>
  <c r="R20" i="5"/>
  <c r="S20" i="5" s="1"/>
  <c r="U20" i="5"/>
  <c r="P21" i="5"/>
  <c r="R21" i="5"/>
  <c r="S21" i="5" s="1"/>
  <c r="U21" i="5"/>
  <c r="P22" i="5"/>
  <c r="R22" i="5"/>
  <c r="S22" i="5" s="1"/>
  <c r="U22" i="5"/>
  <c r="P23" i="5"/>
  <c r="R23" i="5"/>
  <c r="S23" i="5" s="1"/>
  <c r="U23" i="5"/>
  <c r="P24" i="5"/>
  <c r="R24" i="5"/>
  <c r="S24" i="5" s="1"/>
  <c r="U24" i="5"/>
  <c r="P25" i="5"/>
  <c r="R25" i="5"/>
  <c r="S25" i="5" s="1"/>
  <c r="U25" i="5"/>
  <c r="P26" i="5"/>
  <c r="R26" i="5"/>
  <c r="S26" i="5" s="1"/>
  <c r="U26" i="5"/>
  <c r="P27" i="5"/>
  <c r="R27" i="5"/>
  <c r="S27" i="5" s="1"/>
  <c r="U27" i="5"/>
  <c r="P28" i="5"/>
  <c r="R28" i="5"/>
  <c r="S28" i="5" s="1"/>
  <c r="U28" i="5"/>
  <c r="P29" i="5"/>
  <c r="R29" i="5"/>
  <c r="S29" i="5" s="1"/>
  <c r="U29" i="5"/>
  <c r="P30" i="5"/>
  <c r="R30" i="5"/>
  <c r="S30" i="5"/>
  <c r="U30" i="5"/>
  <c r="P31" i="5"/>
  <c r="R31" i="5"/>
  <c r="S31" i="5" s="1"/>
  <c r="U31" i="5"/>
  <c r="P32" i="5"/>
  <c r="R32" i="5"/>
  <c r="S32" i="5"/>
  <c r="U32" i="5"/>
  <c r="P33" i="5"/>
  <c r="R33" i="5"/>
  <c r="S33" i="5" s="1"/>
  <c r="U33" i="5"/>
  <c r="P34" i="5"/>
  <c r="R34" i="5"/>
  <c r="S34" i="5"/>
  <c r="U34" i="5"/>
  <c r="P35" i="5"/>
  <c r="R35" i="5"/>
  <c r="S35" i="5" s="1"/>
  <c r="U35" i="5"/>
  <c r="P36" i="5"/>
  <c r="R36" i="5"/>
  <c r="S36" i="5"/>
  <c r="U36" i="5"/>
  <c r="P37" i="5"/>
  <c r="R37" i="5"/>
  <c r="S37" i="5" s="1"/>
  <c r="U37" i="5"/>
  <c r="P38" i="5"/>
  <c r="R38" i="5"/>
  <c r="S38" i="5"/>
  <c r="U38" i="5"/>
  <c r="O39" i="5"/>
  <c r="P39" i="5" s="1"/>
  <c r="R39" i="5"/>
  <c r="S39" i="5" s="1"/>
  <c r="U39" i="5"/>
  <c r="O7" i="5"/>
  <c r="P7" i="5"/>
  <c r="R7" i="5"/>
  <c r="S7" i="5"/>
  <c r="U7" i="5"/>
  <c r="O8" i="5"/>
  <c r="P8" i="5" s="1"/>
  <c r="R8" i="5"/>
  <c r="S8" i="5" s="1"/>
  <c r="U8" i="5"/>
  <c r="O9" i="5"/>
  <c r="P9" i="5" s="1"/>
  <c r="R9" i="5"/>
  <c r="S9" i="5" s="1"/>
  <c r="U9" i="5"/>
  <c r="O2" i="5"/>
  <c r="P2" i="5" s="1"/>
  <c r="R2" i="5"/>
  <c r="S2" i="5" s="1"/>
  <c r="U2" i="5"/>
  <c r="O3" i="5"/>
  <c r="P3" i="5"/>
  <c r="R3" i="5"/>
  <c r="S3" i="5"/>
  <c r="U3" i="5"/>
  <c r="O4" i="5"/>
  <c r="P4" i="5" s="1"/>
  <c r="R4" i="5"/>
  <c r="S4" i="5"/>
  <c r="U4" i="5"/>
  <c r="O5" i="5"/>
  <c r="P5" i="5"/>
  <c r="R5" i="5"/>
  <c r="S5" i="5"/>
  <c r="U5" i="5"/>
  <c r="O6" i="5"/>
  <c r="P6" i="5"/>
  <c r="R6" i="5"/>
  <c r="S6" i="5" s="1"/>
  <c r="U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8C678D-75C7-441B-8CEC-205EE4F80F46}" keepAlive="1" name="Consulta - ApprovedTimeReport_000_202485" description="Conexão com a consulta 'ApprovedTimeReport_000_202485' na pasta de trabalho." type="5" refreshedVersion="0" background="1">
    <dbPr connection="Provider=Microsoft.Mashup.OleDb.1;Data Source=$Workbook$;Location=ApprovedTimeReport_000_202485;Extended Properties=&quot;&quot;" command="SELECT * FROM [ApprovedTimeReport_000_202485]"/>
  </connection>
  <connection id="2" xr16:uid="{A7A2DA0A-CEE8-4808-AD53-61879A63E0D4}" keepAlive="1" name="Consulta - ApprovedTimeReport_000_202485 (1)" description="Conexão com a consulta 'ApprovedTimeReport_000_202485 (1)' na pasta de trabalho." type="5" refreshedVersion="0" background="1">
    <dbPr connection="Provider=Microsoft.Mashup.OleDb.1;Data Source=$Workbook$;Location=&quot;ApprovedTimeReport_000_202485 (1)&quot;;Extended Properties=&quot;&quot;" command="SELECT * FROM [ApprovedTimeReport_000_202485 (1)]"/>
  </connection>
  <connection id="3" xr16:uid="{E0F96C3F-521D-4E52-A18C-3C4EF5F2532D}" keepAlive="1" name="Consulta - ApprovedTimeReport_001_202485" description="Conexão com a consulta 'ApprovedTimeReport_001_202485' na pasta de trabalho." type="5" refreshedVersion="8" background="1" saveData="1">
    <dbPr connection="Provider=Microsoft.Mashup.OleDb.1;Data Source=$Workbook$;Location=ApprovedTimeReport_001_202485;Extended Properties=&quot;&quot;" command="SELECT * FROM [ApprovedTimeReport_001_202485]"/>
  </connection>
</connections>
</file>

<file path=xl/sharedStrings.xml><?xml version="1.0" encoding="utf-8"?>
<sst xmlns="http://schemas.openxmlformats.org/spreadsheetml/2006/main" count="534" uniqueCount="182">
  <si>
    <t>FunnelID</t>
  </si>
  <si>
    <t>Work Date</t>
  </si>
  <si>
    <t>Date TimeSheet</t>
  </si>
  <si>
    <t>CCID</t>
  </si>
  <si>
    <t>Year</t>
  </si>
  <si>
    <t>Month</t>
  </si>
  <si>
    <t>Day</t>
  </si>
  <si>
    <t>Week</t>
  </si>
  <si>
    <t>Time Actual</t>
  </si>
  <si>
    <t>Company</t>
  </si>
  <si>
    <t>Resource Name</t>
  </si>
  <si>
    <t>Role</t>
  </si>
  <si>
    <t>Comments</t>
  </si>
  <si>
    <t>CostRate</t>
  </si>
  <si>
    <t>BillingRate</t>
  </si>
  <si>
    <t>Customer Name</t>
  </si>
  <si>
    <t>151-VckTow</t>
  </si>
  <si>
    <t>SOW</t>
  </si>
  <si>
    <t>Project Manager</t>
  </si>
  <si>
    <t>068-vckcar</t>
  </si>
  <si>
    <t>154-vckZF</t>
  </si>
  <si>
    <t>952-VCK446</t>
  </si>
  <si>
    <t>970-VCK514</t>
  </si>
  <si>
    <t>472-VCK450</t>
  </si>
  <si>
    <t>NBP-PLAN-112</t>
  </si>
  <si>
    <t>Vockan Consulting Ltda</t>
  </si>
  <si>
    <t>434-VCK448</t>
  </si>
  <si>
    <t>AMVAC do Brasil Representacoes</t>
  </si>
  <si>
    <t>Program Manager</t>
  </si>
  <si>
    <t>484-VCK514</t>
  </si>
  <si>
    <t>NBP-PE-PLAN10</t>
  </si>
  <si>
    <t>406-VCK498</t>
  </si>
  <si>
    <t>Joyson safety System Brasil Ltda</t>
  </si>
  <si>
    <t>A7lAPT28665</t>
  </si>
  <si>
    <t>CO05</t>
  </si>
  <si>
    <t>APTIV Man e Serv de Distr. Ltda</t>
  </si>
  <si>
    <t>368-VCK490</t>
  </si>
  <si>
    <t>NBP-CAIOBA</t>
  </si>
  <si>
    <t>NB-Consultoria-Tec&amp;Dev</t>
  </si>
  <si>
    <t>370-vck22</t>
  </si>
  <si>
    <t>NB-Scrum-Dev</t>
  </si>
  <si>
    <t>NB-Projetos e Consultoria</t>
  </si>
  <si>
    <t>NB01</t>
  </si>
  <si>
    <t>Sietech</t>
  </si>
  <si>
    <t>Nelson Simoes</t>
  </si>
  <si>
    <t>Preoparação de material para reunião gerencial, agenda de reunião gerencial, alinhamento com novos recursos de DEV, Mario e Marcos</t>
  </si>
  <si>
    <t>480-VCK452</t>
  </si>
  <si>
    <t>002-VCKDSCPQAD</t>
  </si>
  <si>
    <t>NBP-PLAN17</t>
  </si>
  <si>
    <t>SUP-Apontamento</t>
  </si>
  <si>
    <t>NBP-PREVENDA</t>
  </si>
  <si>
    <t>SUP-Outros Projetos</t>
  </si>
  <si>
    <t>SUP-Treinamento</t>
  </si>
  <si>
    <t>NBP-QADBR+_Lean</t>
  </si>
  <si>
    <t>SUP-Reuniao</t>
  </si>
  <si>
    <t>061-VckNid</t>
  </si>
  <si>
    <t>436-VCK520</t>
  </si>
  <si>
    <t>448-VCK494</t>
  </si>
  <si>
    <t>HUF do Brasil Ltda</t>
  </si>
  <si>
    <t>362-VCK528</t>
  </si>
  <si>
    <t>452-VCK476</t>
  </si>
  <si>
    <t>Visita Joyson, follow up nova contratação dev, 5 candidatos</t>
  </si>
  <si>
    <t>NB-Universidades</t>
  </si>
  <si>
    <t>NB-BPO e PMO</t>
  </si>
  <si>
    <t>sprint semanal Exchange</t>
  </si>
  <si>
    <t>NB-Squad_DevTec</t>
  </si>
  <si>
    <t>NBP-PE-PLAN12</t>
  </si>
  <si>
    <t>NBP-PLAN107</t>
  </si>
  <si>
    <t>876-VCK490</t>
  </si>
  <si>
    <t>planejamento sprint 14</t>
  </si>
  <si>
    <t>Reunião Visteon com Cristiano, alinhamento com PHL</t>
  </si>
  <si>
    <t>Gravação de discovery</t>
  </si>
  <si>
    <t>NBP-WEBUI-FIN</t>
  </si>
  <si>
    <t>NBP-WEBUI-LOC</t>
  </si>
  <si>
    <t>USP15072</t>
  </si>
  <si>
    <t>gravação de institucional agilista, preparação de roteiro e material</t>
  </si>
  <si>
    <t>fechamento Sprint 13</t>
  </si>
  <si>
    <t>Reunião com KYB, tratamento de proposta oxbo</t>
  </si>
  <si>
    <t>886-VCK704</t>
  </si>
  <si>
    <t>Revisão de itens da sprint 13, alinhamento DEV, alinhamento Auto Kiniton e Amvac</t>
  </si>
  <si>
    <t>Alinhamento com Guilherme sobre material Discovery Exchange</t>
  </si>
  <si>
    <t>DOSCOBQAD</t>
  </si>
  <si>
    <t>976-VCK510</t>
  </si>
  <si>
    <t>fup tickets com Pedro, fup freudenberg com Fernanda, alinhamento de apresentação de cenário para HUF, alinhamento de back office com BPO</t>
  </si>
  <si>
    <t>131-VckAut</t>
  </si>
  <si>
    <t>010-VckBim</t>
  </si>
  <si>
    <t>Alinhamento bpo operacional, minuta de contrato, alinhamento high business, scrum, reunião com projetos</t>
  </si>
  <si>
    <t>Alionhamento Valmont, reunião TEC, Scrum</t>
  </si>
  <si>
    <t>Alinhamento de merges com equipe de desenvolvimento no projeto de conversão.</t>
  </si>
  <si>
    <t>FUP comercial, bitrix, alinhamento TEC, Alinhamento DEV.</t>
  </si>
  <si>
    <t>890-VCK500</t>
  </si>
  <si>
    <t>Follow up de demandas de BPO, revisão de indicadores.</t>
  </si>
  <si>
    <t>155-vckZF</t>
  </si>
  <si>
    <t>Follow up de demandas de BPO.</t>
  </si>
  <si>
    <t>Scrum, tratamento de demandas de projeto com desenvolvimento.</t>
  </si>
  <si>
    <t>Preparação de material para sprint semanal com exchange</t>
  </si>
  <si>
    <t>Preparação de material comercial</t>
  </si>
  <si>
    <t>Tratamento de demandas do BPO e alinhamento com projetos para atuação de DEV no upgrade.</t>
  </si>
  <si>
    <t>458-VCK492</t>
  </si>
  <si>
    <t>sprint semanal, capacitação exchange</t>
  </si>
  <si>
    <t>Reunião com Cestari, alinhamento nova vaga desenvolvedor, scrum</t>
  </si>
  <si>
    <t>planejamento sprint 13</t>
  </si>
  <si>
    <t>Tratamento de demandas OD-322, 355, 394, 405</t>
  </si>
  <si>
    <t>Tratamento de demandas OD-362, 268, 437, 406, 354, 430, 428</t>
  </si>
  <si>
    <t>Oportunidade comerciais, 1:1 André, alinhamento com Produtos</t>
  </si>
  <si>
    <t>100-VckHan</t>
  </si>
  <si>
    <t>NBP-Trein_Vendas</t>
  </si>
  <si>
    <t>Visita da Autokiniton, escalonamento Aptiv</t>
  </si>
  <si>
    <t>fechamento sprint 12</t>
  </si>
  <si>
    <t>Revisão de atividades da sprint 12, escalonamento Aptiv</t>
  </si>
  <si>
    <t>950-VCK862</t>
  </si>
  <si>
    <t>Alinhamento com projetos, alinhamento sobre quantidade de farmers com André, para eschange, scrum</t>
  </si>
  <si>
    <t>Reunião gerencial, preparação de material e agenda, Alinhamento com Optidata, scrum</t>
  </si>
  <si>
    <t>sprint semanal com exchange</t>
  </si>
  <si>
    <t>Scrum, 1:1 André, alinhamento com Serviços para uso do back office com BPO</t>
  </si>
  <si>
    <t>984-VCK538</t>
  </si>
  <si>
    <t>Tratamento de demandas do BPO VBPO 125, 134</t>
  </si>
  <si>
    <t>043-VckHuf</t>
  </si>
  <si>
    <t>089-vckand</t>
  </si>
  <si>
    <t>Revisão de material para roteiro com exchange</t>
  </si>
  <si>
    <t>Alinhamento oportunidades com André, alinhamento TEC, reunião 1:1 com Fabricio</t>
  </si>
  <si>
    <t>Visita CNH, Alinhamento com Leandro sobre trabalho da Squad com Produtos, Scrum, Bitrix</t>
  </si>
  <si>
    <t>862-VCK538</t>
  </si>
  <si>
    <t>Alinhamento com projetos, reunião com Optidata, Scrum</t>
  </si>
  <si>
    <t>NB-VCC</t>
  </si>
  <si>
    <t>NBP-PE-PLAN23</t>
  </si>
  <si>
    <t>Capacitação continuada com Exchange</t>
  </si>
  <si>
    <t>Scrum, atualizações Bitrix, escalonamentos de BPO</t>
  </si>
  <si>
    <t>CostRate (w/ Taxes)</t>
  </si>
  <si>
    <t>Total Cost</t>
  </si>
  <si>
    <t>BillingRate w/ Taxes</t>
  </si>
  <si>
    <t>Total Revenue</t>
  </si>
  <si>
    <t>Project Type</t>
  </si>
  <si>
    <t>074-Vckadi</t>
  </si>
  <si>
    <t>FF</t>
  </si>
  <si>
    <t>095-vckadi</t>
  </si>
  <si>
    <t>128-VckAdi</t>
  </si>
  <si>
    <t>806-Vck446</t>
  </si>
  <si>
    <t>NB-Support</t>
  </si>
  <si>
    <t>NB</t>
  </si>
  <si>
    <t>049-VckAmv</t>
  </si>
  <si>
    <t>T&amp;M</t>
  </si>
  <si>
    <t>115-VCKCER</t>
  </si>
  <si>
    <t>090-VckCnh</t>
  </si>
  <si>
    <t>fwoJoy58673</t>
  </si>
  <si>
    <t>124-VckMue</t>
  </si>
  <si>
    <t>111-VckNid</t>
  </si>
  <si>
    <t>868-VCKNID</t>
  </si>
  <si>
    <t>046-VckOxb</t>
  </si>
  <si>
    <t>096-VckOxb</t>
  </si>
  <si>
    <t>093-Vckser</t>
  </si>
  <si>
    <t>001-VCKSIT</t>
  </si>
  <si>
    <t>002-VckSIT</t>
  </si>
  <si>
    <t>FWOSMR62794</t>
  </si>
  <si>
    <t>VCK692</t>
  </si>
  <si>
    <t>NB-CloudCert2023</t>
  </si>
  <si>
    <t>NBP-Capacitacao</t>
  </si>
  <si>
    <t>NBP-Governanca</t>
  </si>
  <si>
    <t>NB-Treinamento</t>
  </si>
  <si>
    <t>088-VckZod</t>
  </si>
  <si>
    <t>097+110-vckadi</t>
  </si>
  <si>
    <t>127-VckAdi</t>
  </si>
  <si>
    <t>788-VCK692</t>
  </si>
  <si>
    <t>858-VCK488</t>
  </si>
  <si>
    <t>ZF_894-VCK542</t>
  </si>
  <si>
    <t>NBP-Implantacao-BPO</t>
  </si>
  <si>
    <t>CSA</t>
  </si>
  <si>
    <t>860-VCK562</t>
  </si>
  <si>
    <t>884-VCK526</t>
  </si>
  <si>
    <t>944-VCK528</t>
  </si>
  <si>
    <t>1062-VCK466</t>
  </si>
  <si>
    <t>826-VCK504</t>
  </si>
  <si>
    <t>786-VCK538</t>
  </si>
  <si>
    <t>Rótulos de Linha</t>
  </si>
  <si>
    <t>Total Geral</t>
  </si>
  <si>
    <t>Soma de Time Actual</t>
  </si>
  <si>
    <t>Soma de Total Cost</t>
  </si>
  <si>
    <t>Sietech Total</t>
  </si>
  <si>
    <t>NB Total</t>
  </si>
  <si>
    <t>FF Total</t>
  </si>
  <si>
    <t>BRP2184</t>
  </si>
  <si>
    <t>BRP2185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</si>
</sst>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\-#,##0.00\ "/>
    <numFmt numFmtId="165" formatCode="#,##0_ ;\-#,##0\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22" fontId="0" fillId="0" borderId="0" xfId="0" applyNumberFormat="1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43" fontId="0" fillId="0" borderId="0" xfId="0" applyNumberFormat="1" applyAlignment="1">
      <alignment horizontal="left"/>
    </xf>
    <xf numFmtId="43" fontId="0" fillId="2" borderId="0" xfId="0" applyNumberFormat="1" applyFill="1"/>
    <xf numFmtId="43" fontId="0" fillId="3" borderId="0" xfId="0" applyNumberFormat="1" applyFill="1"/>
    <xf numFmtId="43" fontId="0" fillId="3" borderId="0" xfId="0" applyNumberFormat="1" applyFill="1" applyAlignment="1">
      <alignment horizontal="left"/>
    </xf>
    <xf numFmtId="43" fontId="0" fillId="2" borderId="0" xfId="0" applyNumberFormat="1" applyFill="1" applyAlignment="1">
      <alignment horizontal="left"/>
    </xf>
    <xf numFmtId="165" fontId="0" fillId="0" borderId="0" xfId="0" applyNumberFormat="1"/>
    <xf numFmtId="165" fontId="0" fillId="2" borderId="0" xfId="0" applyNumberFormat="1" applyFill="1"/>
    <xf numFmtId="165" fontId="0" fillId="3" borderId="0" xfId="0" applyNumberFormat="1" applyFill="1"/>
  </cellXfs>
  <cellStyles count="2">
    <cellStyle name="Normal" xfId="0" builtinId="0"/>
    <cellStyle name="Vírgula" xfId="1" builtinId="3"/>
  </cellStyles>
  <dxfs count="574">
    <dxf>
      <fill>
        <patternFill patternType="solid">
          <bgColor theme="4" tint="0.79998168889431442"/>
        </patternFill>
      </fill>
    </dxf>
    <dxf>
      <fill>
        <patternFill>
          <bgColor theme="3" tint="0.749992370372631"/>
        </patternFill>
      </fill>
    </dxf>
    <dxf>
      <fill>
        <patternFill patternType="solid">
          <bgColor rgb="FFFFFF00"/>
        </patternFill>
      </fill>
    </dxf>
    <dxf>
      <numFmt numFmtId="164" formatCode="#,##0.00_ ;\-#,##0.00\ "/>
    </dxf>
    <dxf>
      <numFmt numFmtId="164" formatCode="#,##0.00_ ;\-#,##0.00\ 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#,##0_ ;\-#,##0\ "/>
    </dxf>
    <dxf>
      <fill>
        <patternFill patternType="solid">
          <bgColor theme="4" tint="0.79998168889431442"/>
        </patternFill>
      </fill>
    </dxf>
    <dxf>
      <fill>
        <patternFill>
          <bgColor theme="3" tint="0.749992370372631"/>
        </patternFill>
      </fill>
    </dxf>
    <dxf>
      <fill>
        <patternFill patternType="solid">
          <bgColor rgb="FFFFFF00"/>
        </patternFill>
      </fill>
    </dxf>
    <dxf>
      <numFmt numFmtId="164" formatCode="#,##0.00_ ;\-#,##0.00\ "/>
    </dxf>
    <dxf>
      <numFmt numFmtId="164" formatCode="#,##0.00_ ;\-#,##0.00\ 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#,##0_ ;\-#,##0\ 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6" formatCode="m/d/yyyy"/>
    </dxf>
    <dxf>
      <numFmt numFmtId="19" formatCode="dd/mm/yyyy"/>
    </dxf>
    <dxf>
      <numFmt numFmtId="166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 Melo" refreshedDate="45541.433659490744" createdVersion="6" refreshedVersion="8" minRefreshableVersion="3" recordCount="1470" xr:uid="{BA647C3B-B012-413C-ADC5-A0B5575FCC7E}">
  <cacheSource type="worksheet">
    <worksheetSource ref="A1:U1048576" sheet="Agosto 2024"/>
  </cacheSource>
  <cacheFields count="21">
    <cacheField name="FunnelID" numFmtId="0">
      <sharedItems containsBlank="1" count="59">
        <s v="434-VCK448"/>
        <s v="A7lAPT28665"/>
        <s v="448-VCK494"/>
        <s v="406-VCK498"/>
        <s v="NB-Consultoria-Tec&amp;Dev"/>
        <s v="NBP-PE-PLAN10"/>
        <s v="NBP-PE-PLAN12"/>
        <s v="NBP-PE-PLAN23"/>
        <s v="NB-Scrum-Dev"/>
        <m/>
        <s v="952-VCK446" u="1"/>
        <s v="370-vck22" u="1"/>
        <s v="472-VCK450" u="1"/>
        <s v="089-vckand" u="1"/>
        <s v="480-VCK452" u="1"/>
        <s v="NB-Support" u="1"/>
        <s v="131-VckAut" u="1"/>
        <s v="010-VckBim" u="1"/>
        <s v="068-vckcar" u="1"/>
        <s v="452-VCK476" u="1"/>
        <s v="368-VCK490" u="1"/>
        <s v="876-VCK490" u="1"/>
        <s v="100-VckHan" u="1"/>
        <s v="458-VCK492" u="1"/>
        <s v="043-VckHuf" u="1"/>
        <s v="950-VCK862" u="1"/>
        <s v="890-VCK500" u="1"/>
        <s v="886-VCK704" u="1"/>
        <s v="061-VckNid" u="1"/>
        <s v="976-VCK510" u="1"/>
        <s v="484-VCK514" u="1"/>
        <s v="970-VCK514" u="1"/>
        <s v="002-VCKDSCPQAD" u="1"/>
        <s v="USP15072" u="1"/>
        <s v="436-VCK520" u="1"/>
        <s v="362-VCK528" u="1"/>
        <s v="151-VckTow" u="1"/>
        <s v="862-VCK538" u="1"/>
        <s v="984-VCK538" u="1"/>
        <s v="NB-BPO e PMO" u="1"/>
        <s v="NBP-CAIOBA" u="1"/>
        <s v="NBP-PLAN107" u="1"/>
        <s v="NBP-PLAN-112" u="1"/>
        <s v="NBP-PLAN17" u="1"/>
        <s v="NBP-PREVENDA" u="1"/>
        <s v="NBP-QADBR+_Lean" u="1"/>
        <s v="NB-Projetos e Consultoria" u="1"/>
        <s v="NBP-Trein_Vendas" u="1"/>
        <s v="NBP-WEBUI-FIN" u="1"/>
        <s v="NBP-WEBUI-LOC" u="1"/>
        <s v="NB-Squad_DevTec" u="1"/>
        <s v="NB-Universidades" u="1"/>
        <s v="NB-VCC" u="1"/>
        <s v="SUP-Apontamento" u="1"/>
        <s v="SUP-Outros Projetos" u="1"/>
        <s v="SUP-Reuniao" u="1"/>
        <s v="SUP-Treinamento" u="1"/>
        <s v="154-vckZF" u="1"/>
        <s v="155-vckZF" u="1"/>
      </sharedItems>
    </cacheField>
    <cacheField name="Work Date" numFmtId="0">
      <sharedItems containsNonDate="0" containsDate="1" containsString="0" containsBlank="1" minDate="2024-08-01T00:00:00" maxDate="2024-08-31T00:00:00"/>
    </cacheField>
    <cacheField name="Date TimeSheet" numFmtId="0">
      <sharedItems containsNonDate="0" containsDate="1" containsString="0" containsBlank="1" minDate="2024-09-03T00:00:00" maxDate="2024-09-04T00:00:00"/>
    </cacheField>
    <cacheField name="CCID" numFmtId="0">
      <sharedItems containsBlank="1"/>
    </cacheField>
    <cacheField name="Year" numFmtId="0">
      <sharedItems containsString="0" containsBlank="1" containsNumber="1" containsInteger="1" minValue="2024" maxValue="2024"/>
    </cacheField>
    <cacheField name="Month" numFmtId="0">
      <sharedItems containsString="0" containsBlank="1" containsNumber="1" containsInteger="1" minValue="8" maxValue="8"/>
    </cacheField>
    <cacheField name="Day" numFmtId="0">
      <sharedItems containsString="0" containsBlank="1" containsNumber="1" containsInteger="1" minValue="1" maxValue="30"/>
    </cacheField>
    <cacheField name="Week" numFmtId="0">
      <sharedItems containsString="0" containsBlank="1" containsNumber="1" containsInteger="1" minValue="31" maxValue="35"/>
    </cacheField>
    <cacheField name="Time Actual" numFmtId="0">
      <sharedItems containsString="0" containsBlank="1" containsNumber="1" containsInteger="1" minValue="1" maxValue="8"/>
    </cacheField>
    <cacheField name="Company" numFmtId="0">
      <sharedItems containsBlank="1" count="28">
        <s v="Sietech"/>
        <m/>
        <s v="F2B" u="1"/>
        <s v="DMS" u="1"/>
        <s v="PHL" u="1"/>
        <s v="TFA" u="1"/>
        <s v="RUAH" u="1"/>
        <s v="Web Working" u="1"/>
        <s v="CZ" u="1"/>
        <s v="Ceta Consultoria" u="1"/>
        <s v="GMB SERVICOS INFORMATICA" u="1"/>
        <s v="CYP" u="1"/>
        <s v="High Business" u="1"/>
        <s v="Domain Informatica" u="1"/>
        <s v="FDV Gprojetos" u="1"/>
        <s v="LC" u="1"/>
        <s v="LF Solucoes TI" u="1"/>
        <s v="HSJ" u="1"/>
        <s v="NEO" u="1"/>
        <s v="ISL" u="1"/>
        <s v="Vockan Consulting" u="1"/>
        <s v="DR Tecnologia" u="1"/>
        <s v="Loss Consultoria" u="1"/>
        <s v="NHvala" u="1"/>
        <s v="LGATTI" u="1"/>
        <s v="ZM Consultoria" u="1"/>
        <s v="Bruno Bonadio Lopez" u="1"/>
        <s v="AGOB" u="1"/>
      </sharedItems>
    </cacheField>
    <cacheField name="Resource Name" numFmtId="0">
      <sharedItems containsBlank="1" count="48">
        <s v="Nelson Simoes"/>
        <m/>
        <s v="Walter Augusto-vk" u="1"/>
        <s v="Diogo Aguiar-vk" u="1"/>
        <s v="Eduardo Provenzano-vk" u="1"/>
        <s v="Fabio Costa-vk" u="1"/>
        <s v="Leandro Senna-vk" u="1"/>
        <s v="Higo Scheunemann-vk" u="1"/>
        <s v="Eduardo Moreno-vk" u="1"/>
        <s v="Ederson Alexandre-vk" u="1"/>
        <s v="Thiago Queiros-vk" u="1"/>
        <s v="Sildemar Sousa-vk" u="1"/>
        <s v="Reginaldo Almeida-vk" u="1"/>
        <s v="Renato Louzada-vk" u="1"/>
        <s v="Kauane Rocha" u="1"/>
        <s v="Benedito Souza-vk" u="1"/>
        <s v="Geraldo Silva-vk" u="1"/>
        <s v="Andre Parpinelli-vk" u="1"/>
        <s v="Gabriel Brigo-vk" u="1"/>
        <s v="Leonardo Parrillo-vk" u="1"/>
        <s v="Miguel Castaneda-vk" u="1"/>
        <s v="Marcia Silva-vk" u="1"/>
        <s v="Jan Lustig" u="1"/>
        <s v="Fernanda Dias-vk" u="1"/>
        <s v="Jefte Villar-vk" u="1"/>
        <s v="Luciana Cavalcante-vk" u="1"/>
        <s v="Leandro Francischinelli" u="1"/>
        <s v="Luiz Alfredo-vk" u="1"/>
        <s v="Tiago Semidei" u="1"/>
        <s v="Willian Claros" u="1"/>
        <s v="Hilmar Junior-vk" u="1"/>
        <s v="Allan Oliveira" u="1"/>
        <s v="Pedro Silva-vk" u="1"/>
        <s v="Ismael Lopes-vk" u="1"/>
        <s v="Vinicius Knipers-vk" u="1"/>
        <s v="Carlos Pitondo-vk" u="1"/>
        <s v="Daniel Amaral-vk" u="1"/>
        <s v="Guilherme Loss" u="1"/>
        <s v="Nayara Hvala" u="1"/>
        <s v="Emerson Lopes" u="1"/>
        <s v="Lincoln Gatti" u="1"/>
        <s v="Marcelo Cunha-vk" u="1"/>
        <s v="Sergio Ziroldo-vk" u="1"/>
        <s v="Carlos Zambelli-vk" u="1"/>
        <s v="Bruno Bonadio" u="1"/>
        <s v="Giovana Rodrigues" u="1"/>
        <s v="João Fujii" u="1"/>
        <s v="Ana Bispo" u="1"/>
      </sharedItems>
    </cacheField>
    <cacheField name="Role" numFmtId="0">
      <sharedItems containsBlank="1"/>
    </cacheField>
    <cacheField name="Comments" numFmtId="0">
      <sharedItems containsBlank="1"/>
    </cacheField>
    <cacheField name="CostRate" numFmtId="0">
      <sharedItems containsString="0" containsBlank="1" containsNumber="1" minValue="86.43" maxValue="157"/>
    </cacheField>
    <cacheField name="CostRate (w/ Taxes)" numFmtId="0">
      <sharedItems containsString="0" containsBlank="1" containsNumber="1" minValue="24.429752066115704" maxValue="6000" count="42">
        <n v="173.00275482093664"/>
        <n v="110"/>
        <n v="95.239669421487619"/>
        <m/>
        <n v="114.99724517906337" u="1"/>
        <n v="140" u="1"/>
        <n v="112.90358126721763" u="1"/>
        <n v="182.99724517906336" u="1"/>
        <n v="260.39669421487605" u="1"/>
        <n v="178.99724517906336" u="1"/>
        <n v="162" u="1"/>
        <n v="222" u="1"/>
        <n v="50" u="1"/>
        <n v="120.00000000000001" u="1"/>
        <n v="165.00275482093664" u="1"/>
        <n v="197.36639118457302" u="1"/>
        <n v="142.99724517906338" u="1"/>
        <n v="126.99724517906337" u="1"/>
        <n v="124" u="1"/>
        <n v="119" u="1"/>
        <n v="86.247933884297524" u="1"/>
        <n v="160" u="1"/>
        <n v="32.143250688705237" u="1"/>
        <n v="190.00000000000003" u="1"/>
        <n v="80" u="1"/>
        <n v="93.002754820936644" u="1"/>
        <n v="96.000000000000014" u="1"/>
        <n v="61.663911845730027" u="1"/>
        <n v="40.00440771349863" u="1"/>
        <n v="62.501377410468322" u="1"/>
        <n v="103.86776859504133" u="1"/>
        <n v="24.429752066115704" u="1"/>
        <n v="190" u="1"/>
        <n v="150" u="1"/>
        <n v="195" u="1"/>
        <n v="180" u="1"/>
        <n v="94.997245179063356" u="1"/>
        <n v="122" u="1"/>
        <n v="60.9366391184573" u="1"/>
        <n v="4700" u="1"/>
        <n v="1410" u="1"/>
        <n v="6000" u="1"/>
      </sharedItems>
    </cacheField>
    <cacheField name="Total Cost" numFmtId="0">
      <sharedItems containsString="0" containsBlank="1" containsNumber="1" minValue="95.239669421487619" maxValue="1384.0220385674932"/>
    </cacheField>
    <cacheField name="BillingRate" numFmtId="0">
      <sharedItems containsString="0" containsBlank="1" containsNumber="1" minValue="0" maxValue="210.66"/>
    </cacheField>
    <cacheField name="BillingRate w/ Taxes" numFmtId="0">
      <sharedItems containsString="0" containsBlank="1" containsNumber="1" minValue="0" maxValue="239.79510529311327"/>
    </cacheField>
    <cacheField name="Total Revenue" numFmtId="0">
      <sharedItems containsString="0" containsBlank="1" containsNumber="1" minValue="0" maxValue="1812.1798520204895"/>
    </cacheField>
    <cacheField name="Customer Name" numFmtId="0">
      <sharedItems containsBlank="1"/>
    </cacheField>
    <cacheField name="Project Type" numFmtId="0">
      <sharedItems containsNonDate="0" containsBlank="1" count="4">
        <s v="FF"/>
        <s v="NB"/>
        <m/>
        <s v="T&amp;M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d v="2024-08-21T00:00:00"/>
    <d v="2024-09-03T00:00:00"/>
    <s v="SOW"/>
    <n v="2024"/>
    <n v="8"/>
    <n v="21"/>
    <n v="34"/>
    <n v="1"/>
    <x v="0"/>
    <x v="0"/>
    <s v="Project Manager"/>
    <s v="Alinhamento de merges com equipe de desenvolvimento no projeto de conversão."/>
    <n v="157"/>
    <x v="0"/>
    <n v="173.00275482093664"/>
    <n v="210.66"/>
    <n v="239.79510529311327"/>
    <n v="239.79510529311327"/>
    <s v="AMVAC do Brasil Representacoes"/>
    <x v="0"/>
  </r>
  <r>
    <x v="0"/>
    <d v="2024-08-16T00:00:00"/>
    <d v="2024-09-03T00:00:00"/>
    <s v="SOW"/>
    <n v="2024"/>
    <n v="8"/>
    <n v="16"/>
    <n v="33"/>
    <n v="2"/>
    <x v="0"/>
    <x v="0"/>
    <s v="Project Manager"/>
    <s v="Tratamento de demandas do BPO e alinhamento com projetos para atuação de DEV no upgrade."/>
    <n v="157"/>
    <x v="0"/>
    <n v="346.00550964187329"/>
    <n v="210.66"/>
    <n v="239.79510529311327"/>
    <n v="479.59021058622653"/>
    <s v="AMVAC do Brasil Representacoes"/>
    <x v="0"/>
  </r>
  <r>
    <x v="1"/>
    <d v="2024-08-14T00:00:00"/>
    <d v="2024-09-03T00:00:00"/>
    <s v="CO05"/>
    <n v="2024"/>
    <n v="8"/>
    <n v="14"/>
    <n v="33"/>
    <n v="2"/>
    <x v="0"/>
    <x v="0"/>
    <s v="Project Manager"/>
    <s v="Tratamento de demandas OD-362, 268, 437, 406, 354, 430, 428"/>
    <n v="157"/>
    <x v="0"/>
    <n v="346.00550964187329"/>
    <n v="199"/>
    <n v="226.52248150256119"/>
    <n v="453.04496300512238"/>
    <s v="APTIV Man e Serv de Distr. Ltda"/>
    <x v="0"/>
  </r>
  <r>
    <x v="1"/>
    <d v="2024-08-12T00:00:00"/>
    <d v="2024-09-03T00:00:00"/>
    <s v="CO05"/>
    <n v="2024"/>
    <n v="8"/>
    <n v="12"/>
    <n v="33"/>
    <n v="8"/>
    <x v="0"/>
    <x v="0"/>
    <s v="Project Manager"/>
    <s v="Revisão de atividades da sprint 12, escalonamento Aptiv"/>
    <n v="157"/>
    <x v="0"/>
    <n v="1384.0220385674932"/>
    <n v="199"/>
    <n v="226.52248150256119"/>
    <n v="1812.1798520204895"/>
    <s v="APTIV Man e Serv de Distr. Ltda"/>
    <x v="0"/>
  </r>
  <r>
    <x v="1"/>
    <d v="2024-08-07T00:00:00"/>
    <d v="2024-09-03T00:00:00"/>
    <s v="CO05"/>
    <n v="2024"/>
    <n v="8"/>
    <n v="7"/>
    <n v="32"/>
    <n v="2"/>
    <x v="0"/>
    <x v="0"/>
    <s v="Project Manager"/>
    <s v="Tratamento de demandas do BPO VBPO 125, 134"/>
    <n v="157"/>
    <x v="0"/>
    <n v="346.00550964187329"/>
    <n v="199"/>
    <n v="226.52248150256119"/>
    <n v="453.04496300512238"/>
    <s v="APTIV Man e Serv de Distr. Ltda"/>
    <x v="0"/>
  </r>
  <r>
    <x v="2"/>
    <d v="2024-08-20T00:00:00"/>
    <d v="2024-09-03T00:00:00"/>
    <s v="SOW"/>
    <n v="2024"/>
    <n v="8"/>
    <n v="20"/>
    <n v="34"/>
    <n v="1"/>
    <x v="0"/>
    <x v="0"/>
    <s v="Program Manager"/>
    <s v="Follow up de demandas de BPO, revisão de indicadores."/>
    <n v="157"/>
    <x v="0"/>
    <n v="173.00275482093664"/>
    <n v="168.38"/>
    <n v="191.66761525327263"/>
    <n v="191.66761525327263"/>
    <s v="HUF do Brasil Ltda"/>
    <x v="0"/>
  </r>
  <r>
    <x v="3"/>
    <d v="2024-08-20T00:00:00"/>
    <d v="2024-09-03T00:00:00"/>
    <s v="SOW"/>
    <n v="2024"/>
    <n v="8"/>
    <n v="20"/>
    <n v="34"/>
    <n v="1"/>
    <x v="0"/>
    <x v="0"/>
    <s v="Program Manager"/>
    <s v="Follow up de demandas de BPO."/>
    <n v="157"/>
    <x v="0"/>
    <n v="173.00275482093664"/>
    <n v="195"/>
    <n v="221.969265793967"/>
    <n v="221.969265793967"/>
    <s v="Joyson safety System Brasil Ltda"/>
    <x v="0"/>
  </r>
  <r>
    <x v="3"/>
    <d v="2024-08-14T00:00:00"/>
    <d v="2024-09-03T00:00:00"/>
    <s v="SOW"/>
    <n v="2024"/>
    <n v="8"/>
    <n v="14"/>
    <n v="33"/>
    <n v="2"/>
    <x v="0"/>
    <x v="0"/>
    <s v="Program Manager"/>
    <s v="Tratamento de demandas OD-322, 355, 394, 405"/>
    <n v="157"/>
    <x v="0"/>
    <n v="346.00550964187329"/>
    <n v="195"/>
    <n v="221.969265793967"/>
    <n v="443.93853158793399"/>
    <s v="Joyson safety System Brasil Ltda"/>
    <x v="0"/>
  </r>
  <r>
    <x v="4"/>
    <d v="2024-08-30T00:00:00"/>
    <d v="2024-09-03T00:00:00"/>
    <s v="NB01"/>
    <n v="2024"/>
    <n v="8"/>
    <n v="30"/>
    <n v="35"/>
    <n v="8"/>
    <x v="0"/>
    <x v="0"/>
    <s v="Program Manager"/>
    <s v="Preoparação de material para reunião gerencial, agenda de reunião gerencial, alinhamento com novos recursos de DEV, Mario e Marcos"/>
    <n v="99.83"/>
    <x v="1"/>
    <n v="880"/>
    <n v="0"/>
    <n v="0"/>
    <n v="0"/>
    <s v="Vockan Consulting Ltda"/>
    <x v="1"/>
  </r>
  <r>
    <x v="4"/>
    <d v="2024-08-29T00:00:00"/>
    <d v="2024-09-03T00:00:00"/>
    <s v="NB01"/>
    <n v="2024"/>
    <n v="8"/>
    <n v="29"/>
    <n v="35"/>
    <n v="7"/>
    <x v="0"/>
    <x v="0"/>
    <s v="Program Manager"/>
    <s v="Visita Joyson, follow up nova contratação dev, 5 candidatos"/>
    <n v="99.83"/>
    <x v="1"/>
    <n v="770"/>
    <n v="0"/>
    <n v="0"/>
    <n v="0"/>
    <s v="Vockan Consulting Ltda"/>
    <x v="1"/>
  </r>
  <r>
    <x v="4"/>
    <d v="2024-08-28T00:00:00"/>
    <d v="2024-09-03T00:00:00"/>
    <s v="NB01"/>
    <n v="2024"/>
    <n v="8"/>
    <n v="28"/>
    <n v="35"/>
    <n v="5"/>
    <x v="0"/>
    <x v="0"/>
    <s v="Program Manager"/>
    <s v="Reunião Visteon com Cristiano, alinhamento com PHL"/>
    <n v="99.83"/>
    <x v="1"/>
    <n v="550"/>
    <n v="0"/>
    <n v="0"/>
    <n v="0"/>
    <s v="Vockan Consulting Ltda"/>
    <x v="1"/>
  </r>
  <r>
    <x v="4"/>
    <d v="2024-08-27T00:00:00"/>
    <d v="2024-09-03T00:00:00"/>
    <s v="NB01"/>
    <n v="2024"/>
    <n v="8"/>
    <n v="27"/>
    <n v="35"/>
    <n v="6"/>
    <x v="0"/>
    <x v="0"/>
    <s v="Program Manager"/>
    <s v="Reunião com KYB, tratamento de proposta oxbo"/>
    <n v="99.83"/>
    <x v="1"/>
    <n v="660"/>
    <n v="0"/>
    <n v="0"/>
    <n v="0"/>
    <s v="Vockan Consulting Ltda"/>
    <x v="1"/>
  </r>
  <r>
    <x v="4"/>
    <d v="2024-08-26T00:00:00"/>
    <d v="2024-09-03T00:00:00"/>
    <s v="NB01"/>
    <n v="2024"/>
    <n v="8"/>
    <n v="26"/>
    <n v="35"/>
    <n v="6"/>
    <x v="0"/>
    <x v="0"/>
    <s v="Program Manager"/>
    <s v="Revisão de itens da sprint 13, alinhamento DEV, alinhamento Auto Kiniton e Amvac"/>
    <n v="99.83"/>
    <x v="1"/>
    <n v="660"/>
    <n v="0"/>
    <n v="0"/>
    <n v="0"/>
    <s v="Vockan Consulting Ltda"/>
    <x v="1"/>
  </r>
  <r>
    <x v="4"/>
    <d v="2024-08-23T00:00:00"/>
    <d v="2024-09-03T00:00:00"/>
    <s v="NB01"/>
    <n v="2024"/>
    <n v="8"/>
    <n v="23"/>
    <n v="34"/>
    <n v="8"/>
    <x v="0"/>
    <x v="0"/>
    <s v="Program Manager"/>
    <s v="fup tickets com Pedro, fup freudenberg com Fernanda, alinhamento de apresentação de cenário para HUF, alinhamento de back office com BPO"/>
    <n v="99.83"/>
    <x v="1"/>
    <n v="880"/>
    <n v="0"/>
    <n v="0"/>
    <n v="0"/>
    <s v="Vockan Consulting Ltda"/>
    <x v="1"/>
  </r>
  <r>
    <x v="4"/>
    <d v="2024-08-22T00:00:00"/>
    <d v="2024-09-03T00:00:00"/>
    <s v="NB01"/>
    <n v="2024"/>
    <n v="8"/>
    <n v="22"/>
    <n v="34"/>
    <n v="8"/>
    <x v="0"/>
    <x v="0"/>
    <s v="Program Manager"/>
    <s v="Alinhamento bpo operacional, minuta de contrato, alinhamento high business, scrum, reunião com projetos"/>
    <n v="99.83"/>
    <x v="1"/>
    <n v="880"/>
    <n v="0"/>
    <n v="0"/>
    <n v="0"/>
    <s v="Vockan Consulting Ltda"/>
    <x v="1"/>
  </r>
  <r>
    <x v="4"/>
    <d v="2024-08-21T00:00:00"/>
    <d v="2024-09-03T00:00:00"/>
    <s v="NB01"/>
    <n v="2024"/>
    <n v="8"/>
    <n v="21"/>
    <n v="34"/>
    <n v="7"/>
    <x v="0"/>
    <x v="0"/>
    <s v="Program Manager"/>
    <s v="Alionhamento Valmont, reunião TEC, Scrum"/>
    <n v="99.83"/>
    <x v="1"/>
    <n v="770"/>
    <n v="0"/>
    <n v="0"/>
    <n v="0"/>
    <s v="Vockan Consulting Ltda"/>
    <x v="1"/>
  </r>
  <r>
    <x v="4"/>
    <d v="2024-08-20T00:00:00"/>
    <d v="2024-09-03T00:00:00"/>
    <s v="NB01"/>
    <n v="2024"/>
    <n v="8"/>
    <n v="20"/>
    <n v="34"/>
    <n v="6"/>
    <x v="0"/>
    <x v="0"/>
    <s v="Program Manager"/>
    <s v="FUP comercial, bitrix, alinhamento TEC, Alinhamento DEV."/>
    <n v="99.83"/>
    <x v="1"/>
    <n v="660"/>
    <n v="0"/>
    <n v="0"/>
    <n v="0"/>
    <s v="Vockan Consulting Ltda"/>
    <x v="1"/>
  </r>
  <r>
    <x v="4"/>
    <d v="2024-08-19T00:00:00"/>
    <d v="2024-09-03T00:00:00"/>
    <s v="NB01"/>
    <n v="2024"/>
    <n v="8"/>
    <n v="19"/>
    <n v="34"/>
    <n v="4"/>
    <x v="0"/>
    <x v="0"/>
    <s v="Program Manager"/>
    <s v="Scrum, tratamento de demandas de projeto com desenvolvimento."/>
    <n v="99.83"/>
    <x v="1"/>
    <n v="440"/>
    <n v="0"/>
    <n v="0"/>
    <n v="0"/>
    <s v="Vockan Consulting Ltda"/>
    <x v="1"/>
  </r>
  <r>
    <x v="4"/>
    <d v="2024-08-15T00:00:00"/>
    <d v="2024-09-03T00:00:00"/>
    <s v="NB01"/>
    <n v="2024"/>
    <n v="8"/>
    <n v="15"/>
    <n v="33"/>
    <n v="4"/>
    <x v="0"/>
    <x v="0"/>
    <s v="Program Manager"/>
    <s v="Reunião com Cestari, alinhamento nova vaga desenvolvedor, scrum"/>
    <n v="99.83"/>
    <x v="1"/>
    <n v="440"/>
    <n v="0"/>
    <n v="0"/>
    <n v="0"/>
    <s v="Vockan Consulting Ltda"/>
    <x v="1"/>
  </r>
  <r>
    <x v="4"/>
    <d v="2024-08-14T00:00:00"/>
    <d v="2024-09-03T00:00:00"/>
    <s v="NB01"/>
    <n v="2024"/>
    <n v="8"/>
    <n v="14"/>
    <n v="33"/>
    <n v="3"/>
    <x v="0"/>
    <x v="0"/>
    <s v="Program Manager"/>
    <s v="Oportunidade comerciais, 1:1 André, alinhamento com Produtos"/>
    <n v="99.83"/>
    <x v="1"/>
    <n v="330"/>
    <n v="0"/>
    <n v="0"/>
    <n v="0"/>
    <s v="Vockan Consulting Ltda"/>
    <x v="1"/>
  </r>
  <r>
    <x v="4"/>
    <d v="2024-08-13T00:00:00"/>
    <d v="2024-09-03T00:00:00"/>
    <s v="NB01"/>
    <n v="2024"/>
    <n v="8"/>
    <n v="13"/>
    <n v="33"/>
    <n v="7"/>
    <x v="0"/>
    <x v="0"/>
    <s v="Program Manager"/>
    <s v="Visita da Autokiniton, escalonamento Aptiv"/>
    <n v="99.83"/>
    <x v="1"/>
    <n v="770"/>
    <n v="0"/>
    <n v="0"/>
    <n v="0"/>
    <s v="Vockan Consulting Ltda"/>
    <x v="1"/>
  </r>
  <r>
    <x v="4"/>
    <d v="2024-08-09T00:00:00"/>
    <d v="2024-09-03T00:00:00"/>
    <s v="NB01"/>
    <n v="2024"/>
    <n v="8"/>
    <n v="9"/>
    <n v="32"/>
    <n v="8"/>
    <x v="0"/>
    <x v="0"/>
    <s v="Program Manager"/>
    <s v="Alinhamento com projetos, alinhamento sobre quantidade de farmers com André, para eschange, scrum"/>
    <n v="99.83"/>
    <x v="1"/>
    <n v="880"/>
    <n v="0"/>
    <n v="0"/>
    <n v="0"/>
    <s v="Vockan Consulting Ltda"/>
    <x v="1"/>
  </r>
  <r>
    <x v="4"/>
    <d v="2024-08-08T00:00:00"/>
    <d v="2024-09-03T00:00:00"/>
    <s v="NB01"/>
    <n v="2024"/>
    <n v="8"/>
    <n v="8"/>
    <n v="32"/>
    <n v="6"/>
    <x v="0"/>
    <x v="0"/>
    <s v="Program Manager"/>
    <s v="Reunião gerencial, preparação de material e agenda, Alinhamento com Optidata, scrum"/>
    <n v="99.83"/>
    <x v="1"/>
    <n v="660"/>
    <n v="0"/>
    <n v="0"/>
    <n v="0"/>
    <s v="Vockan Consulting Ltda"/>
    <x v="1"/>
  </r>
  <r>
    <x v="4"/>
    <d v="2024-08-07T00:00:00"/>
    <d v="2024-09-03T00:00:00"/>
    <s v="NB01"/>
    <n v="2024"/>
    <n v="8"/>
    <n v="7"/>
    <n v="32"/>
    <n v="6"/>
    <x v="0"/>
    <x v="0"/>
    <s v="Program Manager"/>
    <s v="Scrum, 1:1 André, alinhamento com Serviços para uso do back office com BPO"/>
    <n v="99.83"/>
    <x v="1"/>
    <n v="660"/>
    <n v="0"/>
    <n v="0"/>
    <n v="0"/>
    <s v="Vockan Consulting Ltda"/>
    <x v="1"/>
  </r>
  <r>
    <x v="4"/>
    <d v="2024-08-06T00:00:00"/>
    <d v="2024-09-03T00:00:00"/>
    <s v="NB01"/>
    <n v="2024"/>
    <n v="8"/>
    <n v="6"/>
    <n v="32"/>
    <n v="4"/>
    <x v="0"/>
    <x v="0"/>
    <s v="Program Manager"/>
    <s v="Alinhamento oportunidades com André, alinhamento TEC, reunião 1:1 com Fabricio"/>
    <n v="99.83"/>
    <x v="1"/>
    <n v="440"/>
    <n v="0"/>
    <n v="0"/>
    <n v="0"/>
    <s v="Vockan Consulting Ltda"/>
    <x v="1"/>
  </r>
  <r>
    <x v="4"/>
    <d v="2024-08-05T00:00:00"/>
    <d v="2024-09-03T00:00:00"/>
    <s v="NB01"/>
    <n v="2024"/>
    <n v="8"/>
    <n v="5"/>
    <n v="32"/>
    <n v="8"/>
    <x v="0"/>
    <x v="0"/>
    <s v="Program Manager"/>
    <s v="Visita CNH, Alinhamento com Leandro sobre trabalho da Squad com Produtos, Scrum, Bitrix"/>
    <n v="99.83"/>
    <x v="1"/>
    <n v="880"/>
    <n v="0"/>
    <n v="0"/>
    <n v="0"/>
    <s v="Vockan Consulting Ltda"/>
    <x v="1"/>
  </r>
  <r>
    <x v="4"/>
    <d v="2024-08-02T00:00:00"/>
    <d v="2024-09-03T00:00:00"/>
    <s v="NB01"/>
    <n v="2024"/>
    <n v="8"/>
    <n v="2"/>
    <n v="31"/>
    <n v="8"/>
    <x v="0"/>
    <x v="0"/>
    <s v="Program Manager"/>
    <s v="Alinhamento com projetos, reunião com Optidata, Scrum"/>
    <n v="99.83"/>
    <x v="1"/>
    <n v="880"/>
    <n v="0"/>
    <n v="0"/>
    <n v="0"/>
    <s v="Vockan Consulting Ltda"/>
    <x v="1"/>
  </r>
  <r>
    <x v="4"/>
    <d v="2024-08-01T00:00:00"/>
    <d v="2024-09-03T00:00:00"/>
    <s v="NB01"/>
    <n v="2024"/>
    <n v="8"/>
    <n v="1"/>
    <n v="31"/>
    <n v="4"/>
    <x v="0"/>
    <x v="0"/>
    <s v="Program Manager"/>
    <s v="Scrum, atualizações Bitrix, escalonamentos de BPO"/>
    <n v="99.83"/>
    <x v="1"/>
    <n v="440"/>
    <n v="0"/>
    <n v="0"/>
    <n v="0"/>
    <s v="Vockan Consulting Ltda"/>
    <x v="1"/>
  </r>
  <r>
    <x v="5"/>
    <d v="2024-08-29T00:00:00"/>
    <d v="2024-09-03T00:00:00"/>
    <s v="SOW"/>
    <n v="2024"/>
    <n v="8"/>
    <n v="29"/>
    <n v="35"/>
    <n v="1"/>
    <x v="0"/>
    <x v="0"/>
    <s v="Project Manager"/>
    <s v="sprint semanal Exchange"/>
    <n v="99.83"/>
    <x v="1"/>
    <n v="110"/>
    <n v="0"/>
    <n v="0"/>
    <n v="0"/>
    <s v="Vockan Consulting Ltda"/>
    <x v="1"/>
  </r>
  <r>
    <x v="5"/>
    <d v="2024-08-28T00:00:00"/>
    <d v="2024-09-03T00:00:00"/>
    <s v="SOW"/>
    <n v="2024"/>
    <n v="8"/>
    <n v="28"/>
    <n v="35"/>
    <n v="2"/>
    <x v="0"/>
    <x v="0"/>
    <s v="Project Manager"/>
    <s v="Gravação de discovery"/>
    <n v="99.83"/>
    <x v="1"/>
    <n v="220"/>
    <n v="0"/>
    <n v="0"/>
    <n v="0"/>
    <s v="Vockan Consulting Ltda"/>
    <x v="1"/>
  </r>
  <r>
    <x v="5"/>
    <d v="2024-08-27T00:00:00"/>
    <d v="2024-09-03T00:00:00"/>
    <s v="SOW"/>
    <n v="2024"/>
    <n v="8"/>
    <n v="27"/>
    <n v="35"/>
    <n v="1"/>
    <x v="0"/>
    <x v="0"/>
    <s v="Project Manager"/>
    <s v="gravação de institucional agilista, preparação de roteiro e material"/>
    <n v="99.83"/>
    <x v="1"/>
    <n v="110"/>
    <n v="0"/>
    <n v="0"/>
    <n v="0"/>
    <s v="Vockan Consulting Ltda"/>
    <x v="1"/>
  </r>
  <r>
    <x v="5"/>
    <d v="2024-08-26T00:00:00"/>
    <d v="2024-09-03T00:00:00"/>
    <s v="SOW"/>
    <n v="2024"/>
    <n v="8"/>
    <n v="26"/>
    <n v="35"/>
    <n v="2"/>
    <x v="0"/>
    <x v="0"/>
    <s v="Project Manager"/>
    <s v="Alinhamento com Guilherme sobre material Discovery Exchange"/>
    <n v="99.83"/>
    <x v="1"/>
    <n v="220"/>
    <n v="0"/>
    <n v="0"/>
    <n v="0"/>
    <s v="Vockan Consulting Ltda"/>
    <x v="1"/>
  </r>
  <r>
    <x v="5"/>
    <d v="2024-08-19T00:00:00"/>
    <d v="2024-09-03T00:00:00"/>
    <s v="SOW"/>
    <n v="2024"/>
    <n v="8"/>
    <n v="19"/>
    <n v="34"/>
    <n v="4"/>
    <x v="0"/>
    <x v="0"/>
    <s v="Project Manager"/>
    <s v="Preparação de material para sprint semanal com exchange"/>
    <n v="99.83"/>
    <x v="1"/>
    <n v="440"/>
    <n v="0"/>
    <n v="0"/>
    <n v="0"/>
    <s v="Vockan Consulting Ltda"/>
    <x v="1"/>
  </r>
  <r>
    <x v="5"/>
    <d v="2024-08-15T00:00:00"/>
    <d v="2024-09-03T00:00:00"/>
    <s v="SOW"/>
    <n v="2024"/>
    <n v="8"/>
    <n v="15"/>
    <n v="33"/>
    <n v="4"/>
    <x v="0"/>
    <x v="0"/>
    <s v="Project Manager"/>
    <s v="sprint semanal, capacitação exchange"/>
    <n v="99.83"/>
    <x v="1"/>
    <n v="440"/>
    <n v="0"/>
    <n v="0"/>
    <n v="0"/>
    <s v="Vockan Consulting Ltda"/>
    <x v="1"/>
  </r>
  <r>
    <x v="5"/>
    <d v="2024-08-08T00:00:00"/>
    <d v="2024-09-03T00:00:00"/>
    <s v="SOW"/>
    <n v="2024"/>
    <n v="8"/>
    <n v="8"/>
    <n v="32"/>
    <n v="2"/>
    <x v="0"/>
    <x v="0"/>
    <s v="Project Manager"/>
    <s v="sprint semanal com exchange"/>
    <n v="99.83"/>
    <x v="1"/>
    <n v="220"/>
    <n v="0"/>
    <n v="0"/>
    <n v="0"/>
    <s v="Vockan Consulting Ltda"/>
    <x v="1"/>
  </r>
  <r>
    <x v="5"/>
    <d v="2024-08-06T00:00:00"/>
    <d v="2024-09-03T00:00:00"/>
    <s v="SOW"/>
    <n v="2024"/>
    <n v="8"/>
    <n v="6"/>
    <n v="32"/>
    <n v="4"/>
    <x v="0"/>
    <x v="0"/>
    <s v="Project Manager"/>
    <s v="Revisão de material para roteiro com exchange"/>
    <n v="99.83"/>
    <x v="1"/>
    <n v="440"/>
    <n v="0"/>
    <n v="0"/>
    <n v="0"/>
    <s v="Vockan Consulting Ltda"/>
    <x v="1"/>
  </r>
  <r>
    <x v="6"/>
    <d v="2024-08-16T00:00:00"/>
    <d v="2024-09-03T00:00:00"/>
    <s v="SOW"/>
    <n v="2024"/>
    <n v="8"/>
    <n v="16"/>
    <n v="33"/>
    <n v="6"/>
    <x v="0"/>
    <x v="0"/>
    <s v="Project Manager"/>
    <s v="Preparação de material comercial"/>
    <n v="99.83"/>
    <x v="1"/>
    <n v="660"/>
    <n v="0"/>
    <n v="0"/>
    <n v="0"/>
    <s v="Vockan Consulting Ltda"/>
    <x v="1"/>
  </r>
  <r>
    <x v="7"/>
    <d v="2024-08-01T00:00:00"/>
    <d v="2024-09-03T00:00:00"/>
    <s v="SOW"/>
    <n v="2024"/>
    <n v="8"/>
    <n v="1"/>
    <n v="31"/>
    <n v="4"/>
    <x v="0"/>
    <x v="0"/>
    <s v="Project Manager"/>
    <s v="Capacitação continuada com Exchange"/>
    <n v="157"/>
    <x v="0"/>
    <n v="692.01101928374658"/>
    <n v="0"/>
    <n v="0"/>
    <n v="0"/>
    <s v="Vockan Consulting Ltda"/>
    <x v="1"/>
  </r>
  <r>
    <x v="8"/>
    <d v="2024-08-28T00:00:00"/>
    <d v="2024-09-03T00:00:00"/>
    <s v="SOW"/>
    <n v="2024"/>
    <n v="8"/>
    <n v="28"/>
    <n v="35"/>
    <n v="1"/>
    <x v="0"/>
    <x v="0"/>
    <s v="Program Manager"/>
    <s v="planejamento sprint 14"/>
    <n v="86.43"/>
    <x v="2"/>
    <n v="95.239669421487619"/>
    <n v="0"/>
    <n v="0"/>
    <n v="0"/>
    <s v="Vockan Consulting Ltda"/>
    <x v="1"/>
  </r>
  <r>
    <x v="8"/>
    <d v="2024-08-27T00:00:00"/>
    <d v="2024-09-03T00:00:00"/>
    <s v="SOW"/>
    <n v="2024"/>
    <n v="8"/>
    <n v="27"/>
    <n v="35"/>
    <n v="1"/>
    <x v="0"/>
    <x v="0"/>
    <s v="Program Manager"/>
    <s v="fechamento Sprint 13"/>
    <n v="86.43"/>
    <x v="2"/>
    <n v="95.239669421487619"/>
    <n v="0"/>
    <n v="0"/>
    <n v="0"/>
    <s v="Vockan Consulting Ltda"/>
    <x v="1"/>
  </r>
  <r>
    <x v="8"/>
    <d v="2024-08-14T00:00:00"/>
    <d v="2024-09-03T00:00:00"/>
    <s v="SOW"/>
    <n v="2024"/>
    <n v="8"/>
    <n v="14"/>
    <n v="33"/>
    <n v="1"/>
    <x v="0"/>
    <x v="0"/>
    <s v="Program Manager"/>
    <s v="planejamento sprint 13"/>
    <n v="86.43"/>
    <x v="2"/>
    <n v="95.239669421487619"/>
    <n v="0"/>
    <n v="0"/>
    <n v="0"/>
    <s v="Vockan Consulting Ltda"/>
    <x v="1"/>
  </r>
  <r>
    <x v="8"/>
    <d v="2024-08-13T00:00:00"/>
    <d v="2024-09-03T00:00:00"/>
    <s v="SOW"/>
    <n v="2024"/>
    <n v="8"/>
    <n v="13"/>
    <n v="33"/>
    <n v="1"/>
    <x v="0"/>
    <x v="0"/>
    <s v="Program Manager"/>
    <s v="fechamento sprint 12"/>
    <n v="86.43"/>
    <x v="2"/>
    <n v="95.239669421487619"/>
    <n v="0"/>
    <n v="0"/>
    <n v="0"/>
    <s v="Vockan Consulting Ltda"/>
    <x v="1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  <r>
    <x v="9"/>
    <m/>
    <m/>
    <m/>
    <m/>
    <m/>
    <m/>
    <m/>
    <m/>
    <x v="1"/>
    <x v="1"/>
    <m/>
    <m/>
    <m/>
    <x v="3"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56A74-2988-4B52-82DA-8C1B322ED8E6}" name="Tabela dinâmica1" cacheId="18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G16" firstHeaderRow="0" firstDataRow="1" firstDataCol="5"/>
  <pivotFields count="21">
    <pivotField axis="axisRow" outline="0" showAll="0" defaultSubtotal="0">
      <items count="59">
        <item m="1" x="32"/>
        <item m="1" x="17"/>
        <item m="1" x="24"/>
        <item m="1" x="28"/>
        <item m="1" x="18"/>
        <item m="1" x="13"/>
        <item m="1" x="22"/>
        <item m="1" x="16"/>
        <item m="1" x="36"/>
        <item m="1" x="57"/>
        <item m="1" x="58"/>
        <item m="1" x="35"/>
        <item m="1" x="20"/>
        <item m="1" x="11"/>
        <item x="3"/>
        <item x="0"/>
        <item m="1" x="34"/>
        <item x="2"/>
        <item m="1" x="19"/>
        <item m="1" x="23"/>
        <item m="1" x="12"/>
        <item m="1" x="14"/>
        <item m="1" x="30"/>
        <item m="1" x="37"/>
        <item m="1" x="21"/>
        <item m="1" x="27"/>
        <item m="1" x="26"/>
        <item m="1" x="25"/>
        <item m="1" x="10"/>
        <item m="1" x="31"/>
        <item m="1" x="29"/>
        <item m="1" x="38"/>
        <item x="1"/>
        <item m="1" x="39"/>
        <item x="4"/>
        <item m="1" x="40"/>
        <item x="5"/>
        <item x="6"/>
        <item x="7"/>
        <item m="1" x="41"/>
        <item m="1" x="42"/>
        <item m="1" x="43"/>
        <item m="1" x="44"/>
        <item m="1" x="45"/>
        <item m="1" x="46"/>
        <item m="1" x="47"/>
        <item m="1" x="48"/>
        <item m="1" x="49"/>
        <item x="8"/>
        <item m="1" x="50"/>
        <item m="1" x="15"/>
        <item m="1" x="51"/>
        <item m="1" x="52"/>
        <item m="1" x="53"/>
        <item m="1" x="54"/>
        <item m="1" x="55"/>
        <item m="1" x="56"/>
        <item m="1" x="33"/>
        <item x="9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outline="0" showAll="0">
      <items count="29">
        <item m="1" x="27"/>
        <item m="1" x="26"/>
        <item m="1" x="9"/>
        <item m="1" x="11"/>
        <item m="1" x="8"/>
        <item m="1" x="3"/>
        <item m="1" x="13"/>
        <item m="1" x="21"/>
        <item m="1" x="2"/>
        <item m="1" x="14"/>
        <item m="1" x="10"/>
        <item m="1" x="12"/>
        <item m="1" x="17"/>
        <item m="1" x="19"/>
        <item m="1" x="15"/>
        <item m="1" x="16"/>
        <item m="1" x="24"/>
        <item m="1" x="22"/>
        <item m="1" x="18"/>
        <item m="1" x="23"/>
        <item m="1" x="4"/>
        <item m="1" x="6"/>
        <item x="0"/>
        <item m="1" x="5"/>
        <item h="1" m="1" x="20"/>
        <item m="1" x="7"/>
        <item m="1" x="25"/>
        <item h="1" x="1"/>
        <item t="default"/>
      </items>
    </pivotField>
    <pivotField axis="axisRow" outline="0" showAll="0" defaultSubtotal="0">
      <items count="48">
        <item m="1" x="31"/>
        <item m="1" x="47"/>
        <item m="1" x="17"/>
        <item m="1" x="15"/>
        <item m="1" x="44"/>
        <item m="1" x="35"/>
        <item m="1" x="43"/>
        <item m="1" x="36"/>
        <item m="1" x="3"/>
        <item m="1" x="9"/>
        <item m="1" x="8"/>
        <item m="1" x="4"/>
        <item m="1" x="39"/>
        <item m="1" x="5"/>
        <item m="1" x="23"/>
        <item m="1" x="18"/>
        <item m="1" x="16"/>
        <item m="1" x="45"/>
        <item m="1" x="37"/>
        <item m="1" x="7"/>
        <item m="1" x="30"/>
        <item m="1" x="33"/>
        <item m="1" x="22"/>
        <item m="1" x="24"/>
        <item m="1" x="46"/>
        <item m="1" x="14"/>
        <item m="1" x="26"/>
        <item m="1" x="6"/>
        <item m="1" x="19"/>
        <item m="1" x="40"/>
        <item m="1" x="25"/>
        <item m="1" x="27"/>
        <item m="1" x="41"/>
        <item m="1" x="21"/>
        <item m="1" x="20"/>
        <item m="1" x="38"/>
        <item x="0"/>
        <item m="1" x="32"/>
        <item m="1" x="12"/>
        <item m="1" x="13"/>
        <item m="1" x="42"/>
        <item m="1" x="11"/>
        <item m="1" x="10"/>
        <item m="1" x="28"/>
        <item m="1" x="34"/>
        <item m="1" x="2"/>
        <item m="1" x="29"/>
        <item h="1" x="1"/>
      </items>
    </pivotField>
    <pivotField showAll="0"/>
    <pivotField showAll="0"/>
    <pivotField showAll="0"/>
    <pivotField axis="axisRow" showAll="0">
      <items count="43">
        <item m="1" x="31"/>
        <item m="1" x="22"/>
        <item m="1" x="28"/>
        <item m="1" x="12"/>
        <item m="1" x="38"/>
        <item m="1" x="27"/>
        <item m="1" x="29"/>
        <item m="1" x="24"/>
        <item m="1" x="20"/>
        <item m="1" x="25"/>
        <item m="1" x="36"/>
        <item x="2"/>
        <item m="1" x="26"/>
        <item m="1" x="30"/>
        <item x="1"/>
        <item m="1" x="6"/>
        <item m="1" x="4"/>
        <item m="1" x="19"/>
        <item m="1" x="13"/>
        <item m="1" x="37"/>
        <item m="1" x="18"/>
        <item m="1" x="17"/>
        <item m="1" x="5"/>
        <item m="1" x="16"/>
        <item m="1" x="33"/>
        <item m="1" x="21"/>
        <item m="1" x="10"/>
        <item m="1" x="14"/>
        <item x="0"/>
        <item m="1" x="9"/>
        <item m="1" x="35"/>
        <item m="1" x="7"/>
        <item m="1" x="32"/>
        <item m="1" x="23"/>
        <item m="1" x="34"/>
        <item m="1" x="15"/>
        <item m="1" x="11"/>
        <item m="1" x="8"/>
        <item m="1" x="40"/>
        <item m="1" x="39"/>
        <item m="1" x="41"/>
        <item x="3"/>
        <item t="default"/>
      </items>
    </pivotField>
    <pivotField dataField="1" showAll="0"/>
    <pivotField showAll="0"/>
    <pivotField showAll="0"/>
    <pivotField showAll="0"/>
    <pivotField showAll="0"/>
    <pivotField axis="axisRow" outline="0" showAll="0">
      <items count="5">
        <item x="0"/>
        <item x="1"/>
        <item m="1" x="3"/>
        <item x="2"/>
        <item t="default"/>
      </items>
    </pivotField>
  </pivotFields>
  <rowFields count="5">
    <field x="9"/>
    <field x="20"/>
    <field x="10"/>
    <field x="0"/>
    <field x="14"/>
  </rowFields>
  <rowItems count="13">
    <i>
      <x v="22"/>
      <x/>
      <x v="36"/>
      <x v="14"/>
      <x v="28"/>
    </i>
    <i r="3">
      <x v="15"/>
      <x v="28"/>
    </i>
    <i r="3">
      <x v="17"/>
      <x v="28"/>
    </i>
    <i r="3">
      <x v="32"/>
      <x v="28"/>
    </i>
    <i t="default" r="1">
      <x/>
    </i>
    <i r="1">
      <x v="1"/>
      <x v="36"/>
      <x v="34"/>
      <x v="14"/>
    </i>
    <i r="3">
      <x v="36"/>
      <x v="14"/>
    </i>
    <i r="3">
      <x v="37"/>
      <x v="14"/>
    </i>
    <i r="3">
      <x v="38"/>
      <x v="28"/>
    </i>
    <i r="3">
      <x v="48"/>
      <x v="11"/>
    </i>
    <i t="default" r="1">
      <x v="1"/>
    </i>
    <i t="default"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ime Actual" fld="8" baseField="9" baseItem="0" numFmtId="164"/>
    <dataField name="Soma de Total Cost" fld="15" baseField="9" baseItem="0" numFmtId="165"/>
  </dataFields>
  <formats count="277">
    <format dxfId="277">
      <pivotArea dataOnly="0" outline="0" fieldPosition="0">
        <references count="1">
          <reference field="20" count="0" defaultSubtotal="1"/>
        </references>
      </pivotArea>
    </format>
    <format dxfId="278">
      <pivotArea dataOnly="0" outline="0" fieldPosition="0">
        <references count="1">
          <reference field="20" count="0" defaultSubtotal="1"/>
        </references>
      </pivotArea>
    </format>
    <format dxfId="279">
      <pivotArea dataOnly="0" outline="0" fieldPosition="0">
        <references count="1">
          <reference field="9" count="0" defaultSubtotal="1"/>
        </references>
      </pivotArea>
    </format>
    <format dxfId="280">
      <pivotArea outline="0" fieldPosition="0">
        <references count="1">
          <reference field="4294967294" count="1">
            <x v="0"/>
          </reference>
        </references>
      </pivotArea>
    </format>
    <format dxfId="281">
      <pivotArea outline="0" fieldPosition="0">
        <references count="1">
          <reference field="4294967294" count="1">
            <x v="1"/>
          </reference>
        </references>
      </pivotArea>
    </format>
    <format dxfId="282">
      <pivotArea dataOnly="0" labelOnly="1" fieldPosition="0">
        <references count="1">
          <reference field="9" count="1" defaultSubtotal="1">
            <x v="0"/>
          </reference>
        </references>
      </pivotArea>
    </format>
    <format dxfId="283">
      <pivotArea dataOnly="0" labelOnly="1" fieldPosition="0">
        <references count="1">
          <reference field="9" count="1" defaultSubtotal="1">
            <x v="1"/>
          </reference>
        </references>
      </pivotArea>
    </format>
    <format dxfId="284">
      <pivotArea dataOnly="0" labelOnly="1" fieldPosition="0">
        <references count="1">
          <reference field="9" count="1" defaultSubtotal="1">
            <x v="2"/>
          </reference>
        </references>
      </pivotArea>
    </format>
    <format dxfId="285">
      <pivotArea dataOnly="0" labelOnly="1" fieldPosition="0">
        <references count="1">
          <reference field="9" count="1" defaultSubtotal="1">
            <x v="3"/>
          </reference>
        </references>
      </pivotArea>
    </format>
    <format dxfId="286">
      <pivotArea dataOnly="0" labelOnly="1" fieldPosition="0">
        <references count="1">
          <reference field="9" count="1" defaultSubtotal="1">
            <x v="4"/>
          </reference>
        </references>
      </pivotArea>
    </format>
    <format dxfId="287">
      <pivotArea dataOnly="0" labelOnly="1" fieldPosition="0">
        <references count="1">
          <reference field="9" count="1" defaultSubtotal="1">
            <x v="5"/>
          </reference>
        </references>
      </pivotArea>
    </format>
    <format dxfId="288">
      <pivotArea dataOnly="0" labelOnly="1" fieldPosition="0">
        <references count="1">
          <reference field="9" count="1" defaultSubtotal="1">
            <x v="6"/>
          </reference>
        </references>
      </pivotArea>
    </format>
    <format dxfId="289">
      <pivotArea dataOnly="0" labelOnly="1" fieldPosition="0">
        <references count="1">
          <reference field="9" count="1" defaultSubtotal="1">
            <x v="7"/>
          </reference>
        </references>
      </pivotArea>
    </format>
    <format dxfId="290">
      <pivotArea dataOnly="0" labelOnly="1" fieldPosition="0">
        <references count="1">
          <reference field="9" count="1" defaultSubtotal="1">
            <x v="8"/>
          </reference>
        </references>
      </pivotArea>
    </format>
    <format dxfId="291">
      <pivotArea dataOnly="0" labelOnly="1" fieldPosition="0">
        <references count="1">
          <reference field="9" count="1" defaultSubtotal="1">
            <x v="9"/>
          </reference>
        </references>
      </pivotArea>
    </format>
    <format dxfId="292">
      <pivotArea dataOnly="0" labelOnly="1" fieldPosition="0">
        <references count="1">
          <reference field="9" count="1" defaultSubtotal="1">
            <x v="10"/>
          </reference>
        </references>
      </pivotArea>
    </format>
    <format dxfId="293">
      <pivotArea dataOnly="0" labelOnly="1" fieldPosition="0">
        <references count="1">
          <reference field="9" count="1" defaultSubtotal="1">
            <x v="11"/>
          </reference>
        </references>
      </pivotArea>
    </format>
    <format dxfId="294">
      <pivotArea dataOnly="0" labelOnly="1" fieldPosition="0">
        <references count="1">
          <reference field="9" count="1" defaultSubtotal="1">
            <x v="12"/>
          </reference>
        </references>
      </pivotArea>
    </format>
    <format dxfId="295">
      <pivotArea dataOnly="0" labelOnly="1" fieldPosition="0">
        <references count="1">
          <reference field="9" count="1" defaultSubtotal="1">
            <x v="13"/>
          </reference>
        </references>
      </pivotArea>
    </format>
    <format dxfId="296">
      <pivotArea dataOnly="0" labelOnly="1" fieldPosition="0">
        <references count="1">
          <reference field="9" count="1" defaultSubtotal="1">
            <x v="14"/>
          </reference>
        </references>
      </pivotArea>
    </format>
    <format dxfId="297">
      <pivotArea dataOnly="0" labelOnly="1" fieldPosition="0">
        <references count="1">
          <reference field="9" count="1" defaultSubtotal="1">
            <x v="15"/>
          </reference>
        </references>
      </pivotArea>
    </format>
    <format dxfId="298">
      <pivotArea dataOnly="0" labelOnly="1" fieldPosition="0">
        <references count="1">
          <reference field="9" count="1" defaultSubtotal="1">
            <x v="16"/>
          </reference>
        </references>
      </pivotArea>
    </format>
    <format dxfId="299">
      <pivotArea dataOnly="0" labelOnly="1" fieldPosition="0">
        <references count="1">
          <reference field="9" count="1" defaultSubtotal="1">
            <x v="17"/>
          </reference>
        </references>
      </pivotArea>
    </format>
    <format dxfId="300">
      <pivotArea dataOnly="0" labelOnly="1" fieldPosition="0">
        <references count="1">
          <reference field="9" count="1" defaultSubtotal="1">
            <x v="18"/>
          </reference>
        </references>
      </pivotArea>
    </format>
    <format dxfId="301">
      <pivotArea dataOnly="0" labelOnly="1" fieldPosition="0">
        <references count="1">
          <reference field="9" count="1" defaultSubtotal="1">
            <x v="19"/>
          </reference>
        </references>
      </pivotArea>
    </format>
    <format dxfId="302">
      <pivotArea dataOnly="0" labelOnly="1" fieldPosition="0">
        <references count="1">
          <reference field="9" count="1" defaultSubtotal="1">
            <x v="20"/>
          </reference>
        </references>
      </pivotArea>
    </format>
    <format dxfId="303">
      <pivotArea dataOnly="0" labelOnly="1" fieldPosition="0">
        <references count="1">
          <reference field="9" count="1" defaultSubtotal="1">
            <x v="21"/>
          </reference>
        </references>
      </pivotArea>
    </format>
    <format dxfId="304">
      <pivotArea dataOnly="0" labelOnly="1" fieldPosition="0">
        <references count="1">
          <reference field="9" count="1" defaultSubtotal="1">
            <x v="22"/>
          </reference>
        </references>
      </pivotArea>
    </format>
    <format dxfId="305">
      <pivotArea dataOnly="0" labelOnly="1" fieldPosition="0">
        <references count="1">
          <reference field="9" count="1" defaultSubtotal="1">
            <x v="23"/>
          </reference>
        </references>
      </pivotArea>
    </format>
    <format dxfId="306">
      <pivotArea dataOnly="0" labelOnly="1" fieldPosition="0">
        <references count="1">
          <reference field="9" count="1" defaultSubtotal="1">
            <x v="24"/>
          </reference>
        </references>
      </pivotArea>
    </format>
    <format dxfId="307">
      <pivotArea dataOnly="0" labelOnly="1" fieldPosition="0">
        <references count="1">
          <reference field="9" count="1" defaultSubtotal="1">
            <x v="25"/>
          </reference>
        </references>
      </pivotArea>
    </format>
    <format dxfId="308">
      <pivotArea dataOnly="0" labelOnly="1" fieldPosition="0">
        <references count="2">
          <reference field="9" count="1" selected="0">
            <x v="0"/>
          </reference>
          <reference field="20" count="1" defaultSubtotal="1">
            <x v="1"/>
          </reference>
        </references>
      </pivotArea>
    </format>
    <format dxfId="309">
      <pivotArea dataOnly="0" labelOnly="1" fieldPosition="0">
        <references count="2">
          <reference field="9" count="1" selected="0">
            <x v="1"/>
          </reference>
          <reference field="20" count="1" defaultSubtotal="1">
            <x v="1"/>
          </reference>
        </references>
      </pivotArea>
    </format>
    <format dxfId="310">
      <pivotArea dataOnly="0" labelOnly="1" fieldPosition="0">
        <references count="2">
          <reference field="9" count="1" selected="0">
            <x v="2"/>
          </reference>
          <reference field="20" count="1" defaultSubtotal="1">
            <x v="0"/>
          </reference>
        </references>
      </pivotArea>
    </format>
    <format dxfId="311">
      <pivotArea dataOnly="0" labelOnly="1" fieldPosition="0">
        <references count="2">
          <reference field="9" count="1" selected="0">
            <x v="2"/>
          </reference>
          <reference field="20" count="1" defaultSubtotal="1">
            <x v="1"/>
          </reference>
        </references>
      </pivotArea>
    </format>
    <format dxfId="312">
      <pivotArea dataOnly="0" labelOnly="1" fieldPosition="0">
        <references count="2">
          <reference field="9" count="1" selected="0">
            <x v="2"/>
          </reference>
          <reference field="20" count="1" defaultSubtotal="1">
            <x v="2"/>
          </reference>
        </references>
      </pivotArea>
    </format>
    <format dxfId="313">
      <pivotArea dataOnly="0" labelOnly="1" fieldPosition="0">
        <references count="2">
          <reference field="9" count="1" selected="0">
            <x v="3"/>
          </reference>
          <reference field="20" count="1" defaultSubtotal="1">
            <x v="0"/>
          </reference>
        </references>
      </pivotArea>
    </format>
    <format dxfId="314">
      <pivotArea dataOnly="0" labelOnly="1" fieldPosition="0">
        <references count="2">
          <reference field="9" count="1" selected="0">
            <x v="3"/>
          </reference>
          <reference field="20" count="1" defaultSubtotal="1">
            <x v="1"/>
          </reference>
        </references>
      </pivotArea>
    </format>
    <format dxfId="315">
      <pivotArea dataOnly="0" labelOnly="1" fieldPosition="0">
        <references count="2">
          <reference field="9" count="1" selected="0">
            <x v="3"/>
          </reference>
          <reference field="20" count="1" defaultSubtotal="1">
            <x v="2"/>
          </reference>
        </references>
      </pivotArea>
    </format>
    <format dxfId="316">
      <pivotArea dataOnly="0" labelOnly="1" fieldPosition="0">
        <references count="2">
          <reference field="9" count="1" selected="0">
            <x v="4"/>
          </reference>
          <reference field="20" count="1" defaultSubtotal="1">
            <x v="0"/>
          </reference>
        </references>
      </pivotArea>
    </format>
    <format dxfId="317">
      <pivotArea dataOnly="0" labelOnly="1" fieldPosition="0">
        <references count="2">
          <reference field="9" count="1" selected="0">
            <x v="4"/>
          </reference>
          <reference field="20" count="1" defaultSubtotal="1">
            <x v="1"/>
          </reference>
        </references>
      </pivotArea>
    </format>
    <format dxfId="318">
      <pivotArea dataOnly="0" labelOnly="1" fieldPosition="0">
        <references count="2">
          <reference field="9" count="1" selected="0">
            <x v="4"/>
          </reference>
          <reference field="20" count="1" defaultSubtotal="1">
            <x v="2"/>
          </reference>
        </references>
      </pivotArea>
    </format>
    <format dxfId="319">
      <pivotArea dataOnly="0" labelOnly="1" fieldPosition="0">
        <references count="2">
          <reference field="9" count="1" selected="0">
            <x v="5"/>
          </reference>
          <reference field="20" count="1" defaultSubtotal="1">
            <x v="0"/>
          </reference>
        </references>
      </pivotArea>
    </format>
    <format dxfId="320">
      <pivotArea dataOnly="0" labelOnly="1" fieldPosition="0">
        <references count="2">
          <reference field="9" count="1" selected="0">
            <x v="5"/>
          </reference>
          <reference field="20" count="1" defaultSubtotal="1">
            <x v="1"/>
          </reference>
        </references>
      </pivotArea>
    </format>
    <format dxfId="321">
      <pivotArea dataOnly="0" labelOnly="1" fieldPosition="0">
        <references count="2">
          <reference field="9" count="1" selected="0">
            <x v="5"/>
          </reference>
          <reference field="20" count="1" defaultSubtotal="1">
            <x v="2"/>
          </reference>
        </references>
      </pivotArea>
    </format>
    <format dxfId="322">
      <pivotArea dataOnly="0" labelOnly="1" fieldPosition="0">
        <references count="2">
          <reference field="9" count="1" selected="0">
            <x v="6"/>
          </reference>
          <reference field="20" count="1" defaultSubtotal="1">
            <x v="0"/>
          </reference>
        </references>
      </pivotArea>
    </format>
    <format dxfId="323">
      <pivotArea dataOnly="0" labelOnly="1" fieldPosition="0">
        <references count="2">
          <reference field="9" count="1" selected="0">
            <x v="6"/>
          </reference>
          <reference field="20" count="1" defaultSubtotal="1">
            <x v="1"/>
          </reference>
        </references>
      </pivotArea>
    </format>
    <format dxfId="324">
      <pivotArea dataOnly="0" labelOnly="1" fieldPosition="0">
        <references count="2">
          <reference field="9" count="1" selected="0">
            <x v="7"/>
          </reference>
          <reference field="20" count="1" defaultSubtotal="1">
            <x v="1"/>
          </reference>
        </references>
      </pivotArea>
    </format>
    <format dxfId="325">
      <pivotArea dataOnly="0" labelOnly="1" fieldPosition="0">
        <references count="2">
          <reference field="9" count="1" selected="0">
            <x v="8"/>
          </reference>
          <reference field="20" count="1" defaultSubtotal="1">
            <x v="0"/>
          </reference>
        </references>
      </pivotArea>
    </format>
    <format dxfId="326">
      <pivotArea dataOnly="0" labelOnly="1" fieldPosition="0">
        <references count="2">
          <reference field="9" count="1" selected="0">
            <x v="8"/>
          </reference>
          <reference field="20" count="1" defaultSubtotal="1">
            <x v="1"/>
          </reference>
        </references>
      </pivotArea>
    </format>
    <format dxfId="327">
      <pivotArea dataOnly="0" labelOnly="1" fieldPosition="0">
        <references count="2">
          <reference field="9" count="1" selected="0">
            <x v="8"/>
          </reference>
          <reference field="20" count="1" defaultSubtotal="1">
            <x v="2"/>
          </reference>
        </references>
      </pivotArea>
    </format>
    <format dxfId="328">
      <pivotArea dataOnly="0" labelOnly="1" fieldPosition="0">
        <references count="2">
          <reference field="9" count="1" selected="0">
            <x v="9"/>
          </reference>
          <reference field="20" count="1" defaultSubtotal="1">
            <x v="1"/>
          </reference>
        </references>
      </pivotArea>
    </format>
    <format dxfId="329">
      <pivotArea dataOnly="0" labelOnly="1" fieldPosition="0">
        <references count="2">
          <reference field="9" count="1" selected="0">
            <x v="9"/>
          </reference>
          <reference field="20" count="1" defaultSubtotal="1">
            <x v="2"/>
          </reference>
        </references>
      </pivotArea>
    </format>
    <format dxfId="330">
      <pivotArea dataOnly="0" labelOnly="1" fieldPosition="0">
        <references count="2">
          <reference field="9" count="1" selected="0">
            <x v="10"/>
          </reference>
          <reference field="20" count="1" defaultSubtotal="1">
            <x v="0"/>
          </reference>
        </references>
      </pivotArea>
    </format>
    <format dxfId="331">
      <pivotArea dataOnly="0" labelOnly="1" fieldPosition="0">
        <references count="2">
          <reference field="9" count="1" selected="0">
            <x v="10"/>
          </reference>
          <reference field="20" count="1" defaultSubtotal="1">
            <x v="1"/>
          </reference>
        </references>
      </pivotArea>
    </format>
    <format dxfId="332">
      <pivotArea dataOnly="0" labelOnly="1" fieldPosition="0">
        <references count="2">
          <reference field="9" count="1" selected="0">
            <x v="10"/>
          </reference>
          <reference field="20" count="1" defaultSubtotal="1">
            <x v="2"/>
          </reference>
        </references>
      </pivotArea>
    </format>
    <format dxfId="333">
      <pivotArea dataOnly="0" labelOnly="1" fieldPosition="0">
        <references count="2">
          <reference field="9" count="1" selected="0">
            <x v="11"/>
          </reference>
          <reference field="20" count="1" defaultSubtotal="1">
            <x v="0"/>
          </reference>
        </references>
      </pivotArea>
    </format>
    <format dxfId="334">
      <pivotArea dataOnly="0" labelOnly="1" fieldPosition="0">
        <references count="2">
          <reference field="9" count="1" selected="0">
            <x v="11"/>
          </reference>
          <reference field="20" count="1" defaultSubtotal="1">
            <x v="1"/>
          </reference>
        </references>
      </pivotArea>
    </format>
    <format dxfId="335">
      <pivotArea dataOnly="0" labelOnly="1" fieldPosition="0">
        <references count="2">
          <reference field="9" count="1" selected="0">
            <x v="12"/>
          </reference>
          <reference field="20" count="1" defaultSubtotal="1">
            <x v="0"/>
          </reference>
        </references>
      </pivotArea>
    </format>
    <format dxfId="336">
      <pivotArea dataOnly="0" labelOnly="1" fieldPosition="0">
        <references count="2">
          <reference field="9" count="1" selected="0">
            <x v="13"/>
          </reference>
          <reference field="20" count="1" defaultSubtotal="1">
            <x v="2"/>
          </reference>
        </references>
      </pivotArea>
    </format>
    <format dxfId="337">
      <pivotArea dataOnly="0" labelOnly="1" fieldPosition="0">
        <references count="2">
          <reference field="9" count="1" selected="0">
            <x v="14"/>
          </reference>
          <reference field="20" count="1" defaultSubtotal="1">
            <x v="1"/>
          </reference>
        </references>
      </pivotArea>
    </format>
    <format dxfId="338">
      <pivotArea dataOnly="0" labelOnly="1" fieldPosition="0">
        <references count="2">
          <reference field="9" count="1" selected="0">
            <x v="14"/>
          </reference>
          <reference field="20" count="1" defaultSubtotal="1">
            <x v="2"/>
          </reference>
        </references>
      </pivotArea>
    </format>
    <format dxfId="339">
      <pivotArea dataOnly="0" labelOnly="1" fieldPosition="0">
        <references count="2">
          <reference field="9" count="1" selected="0">
            <x v="15"/>
          </reference>
          <reference field="20" count="1" defaultSubtotal="1">
            <x v="1"/>
          </reference>
        </references>
      </pivotArea>
    </format>
    <format dxfId="340">
      <pivotArea dataOnly="0" labelOnly="1" fieldPosition="0">
        <references count="2">
          <reference field="9" count="1" selected="0">
            <x v="15"/>
          </reference>
          <reference field="20" count="1" defaultSubtotal="1">
            <x v="2"/>
          </reference>
        </references>
      </pivotArea>
    </format>
    <format dxfId="341">
      <pivotArea dataOnly="0" labelOnly="1" fieldPosition="0">
        <references count="2">
          <reference field="9" count="1" selected="0">
            <x v="16"/>
          </reference>
          <reference field="20" count="1" defaultSubtotal="1">
            <x v="1"/>
          </reference>
        </references>
      </pivotArea>
    </format>
    <format dxfId="342">
      <pivotArea dataOnly="0" labelOnly="1" fieldPosition="0">
        <references count="2">
          <reference field="9" count="1" selected="0">
            <x v="17"/>
          </reference>
          <reference field="20" count="1" defaultSubtotal="1">
            <x v="1"/>
          </reference>
        </references>
      </pivotArea>
    </format>
    <format dxfId="343">
      <pivotArea dataOnly="0" labelOnly="1" fieldPosition="0">
        <references count="2">
          <reference field="9" count="1" selected="0">
            <x v="18"/>
          </reference>
          <reference field="20" count="1" defaultSubtotal="1">
            <x v="0"/>
          </reference>
        </references>
      </pivotArea>
    </format>
    <format dxfId="344">
      <pivotArea dataOnly="0" labelOnly="1" fieldPosition="0">
        <references count="2">
          <reference field="9" count="1" selected="0">
            <x v="18"/>
          </reference>
          <reference field="20" count="1" defaultSubtotal="1">
            <x v="1"/>
          </reference>
        </references>
      </pivotArea>
    </format>
    <format dxfId="345">
      <pivotArea dataOnly="0" labelOnly="1" fieldPosition="0">
        <references count="2">
          <reference field="9" count="1" selected="0">
            <x v="19"/>
          </reference>
          <reference field="20" count="1" defaultSubtotal="1">
            <x v="1"/>
          </reference>
        </references>
      </pivotArea>
    </format>
    <format dxfId="346">
      <pivotArea dataOnly="0" labelOnly="1" fieldPosition="0">
        <references count="2">
          <reference field="9" count="1" selected="0">
            <x v="20"/>
          </reference>
          <reference field="20" count="1" defaultSubtotal="1">
            <x v="0"/>
          </reference>
        </references>
      </pivotArea>
    </format>
    <format dxfId="347">
      <pivotArea dataOnly="0" labelOnly="1" fieldPosition="0">
        <references count="2">
          <reference field="9" count="1" selected="0">
            <x v="20"/>
          </reference>
          <reference field="20" count="1" defaultSubtotal="1">
            <x v="1"/>
          </reference>
        </references>
      </pivotArea>
    </format>
    <format dxfId="348">
      <pivotArea dataOnly="0" labelOnly="1" fieldPosition="0">
        <references count="2">
          <reference field="9" count="1" selected="0">
            <x v="20"/>
          </reference>
          <reference field="20" count="1" defaultSubtotal="1">
            <x v="2"/>
          </reference>
        </references>
      </pivotArea>
    </format>
    <format dxfId="349">
      <pivotArea dataOnly="0" labelOnly="1" fieldPosition="0">
        <references count="2">
          <reference field="9" count="1" selected="0">
            <x v="21"/>
          </reference>
          <reference field="20" count="1" defaultSubtotal="1">
            <x v="0"/>
          </reference>
        </references>
      </pivotArea>
    </format>
    <format dxfId="350">
      <pivotArea dataOnly="0" labelOnly="1" fieldPosition="0">
        <references count="2">
          <reference field="9" count="1" selected="0">
            <x v="21"/>
          </reference>
          <reference field="20" count="1" defaultSubtotal="1">
            <x v="1"/>
          </reference>
        </references>
      </pivotArea>
    </format>
    <format dxfId="351">
      <pivotArea dataOnly="0" labelOnly="1" fieldPosition="0">
        <references count="2">
          <reference field="9" count="1" selected="0">
            <x v="21"/>
          </reference>
          <reference field="20" count="1" defaultSubtotal="1">
            <x v="2"/>
          </reference>
        </references>
      </pivotArea>
    </format>
    <format dxfId="352">
      <pivotArea dataOnly="0" labelOnly="1" fieldPosition="0">
        <references count="2">
          <reference field="9" count="1" selected="0">
            <x v="22"/>
          </reference>
          <reference field="20" count="1" defaultSubtotal="1">
            <x v="0"/>
          </reference>
        </references>
      </pivotArea>
    </format>
    <format dxfId="353">
      <pivotArea dataOnly="0" labelOnly="1" fieldPosition="0">
        <references count="2">
          <reference field="9" count="1" selected="0">
            <x v="22"/>
          </reference>
          <reference field="20" count="1" defaultSubtotal="1">
            <x v="1"/>
          </reference>
        </references>
      </pivotArea>
    </format>
    <format dxfId="354">
      <pivotArea dataOnly="0" labelOnly="1" fieldPosition="0">
        <references count="2">
          <reference field="9" count="1" selected="0">
            <x v="23"/>
          </reference>
          <reference field="20" count="1" defaultSubtotal="1">
            <x v="0"/>
          </reference>
        </references>
      </pivotArea>
    </format>
    <format dxfId="355">
      <pivotArea dataOnly="0" labelOnly="1" fieldPosition="0">
        <references count="2">
          <reference field="9" count="1" selected="0">
            <x v="24"/>
          </reference>
          <reference field="20" count="1" defaultSubtotal="1">
            <x v="2"/>
          </reference>
        </references>
      </pivotArea>
    </format>
    <format dxfId="356">
      <pivotArea dataOnly="0" labelOnly="1" fieldPosition="0">
        <references count="2">
          <reference field="9" count="1" selected="0">
            <x v="25"/>
          </reference>
          <reference field="20" count="1" defaultSubtotal="1">
            <x v="0"/>
          </reference>
        </references>
      </pivotArea>
    </format>
    <format dxfId="357">
      <pivotArea dataOnly="0" labelOnly="1" fieldPosition="0">
        <references count="2">
          <reference field="9" count="1" selected="0">
            <x v="25"/>
          </reference>
          <reference field="20" count="1" defaultSubtotal="1">
            <x v="1"/>
          </reference>
        </references>
      </pivotArea>
    </format>
    <format dxfId="358">
      <pivotArea dataOnly="0" labelOnly="1" fieldPosition="0">
        <references count="2">
          <reference field="9" count="1" selected="0">
            <x v="25"/>
          </reference>
          <reference field="20" count="1" defaultSubtotal="1">
            <x v="2"/>
          </reference>
        </references>
      </pivotArea>
    </format>
    <format dxfId="359">
      <pivotArea dataOnly="0" labelOnly="1" fieldPosition="0">
        <references count="5">
          <reference field="0" count="1" selected="0">
            <x v="33"/>
          </reference>
          <reference field="9" count="1" selected="0">
            <x v="0"/>
          </reference>
          <reference field="10" count="1" selected="0">
            <x v="1"/>
          </reference>
          <reference field="14" count="1">
            <x v="40"/>
          </reference>
          <reference field="20" count="1" selected="0">
            <x v="1"/>
          </reference>
        </references>
      </pivotArea>
    </format>
    <format dxfId="360">
      <pivotArea dataOnly="0" labelOnly="1" fieldPosition="0">
        <references count="5">
          <reference field="0" count="1" selected="0">
            <x v="49"/>
          </reference>
          <reference field="9" count="1" selected="0">
            <x v="1"/>
          </reference>
          <reference field="10" count="1" selected="0">
            <x v="4"/>
          </reference>
          <reference field="14" count="1">
            <x v="4"/>
          </reference>
          <reference field="20" count="1" selected="0">
            <x v="1"/>
          </reference>
        </references>
      </pivotArea>
    </format>
    <format dxfId="361">
      <pivotArea dataOnly="0" labelOnly="1" fieldPosition="0">
        <references count="5">
          <reference field="0" count="1" selected="0">
            <x v="2"/>
          </reference>
          <reference field="9" count="1" selected="0">
            <x v="2"/>
          </reference>
          <reference field="10" count="1" selected="0">
            <x v="16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362">
      <pivotArea dataOnly="0" labelOnly="1" fieldPosition="0">
        <references count="5">
          <reference field="0" count="1" selected="0">
            <x v="16"/>
          </reference>
          <reference field="9" count="1" selected="0">
            <x v="2"/>
          </reference>
          <reference field="10" count="1" selected="0">
            <x v="16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363">
      <pivotArea dataOnly="0" labelOnly="1" fieldPosition="0">
        <references count="5">
          <reference field="0" count="1" selected="0">
            <x v="17"/>
          </reference>
          <reference field="9" count="1" selected="0">
            <x v="2"/>
          </reference>
          <reference field="10" count="1" selected="0">
            <x v="16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364">
      <pivotArea dataOnly="0" labelOnly="1" fieldPosition="0">
        <references count="5">
          <reference field="0" count="1" selected="0">
            <x v="22"/>
          </reference>
          <reference field="9" count="1" selected="0">
            <x v="2"/>
          </reference>
          <reference field="10" count="1" selected="0">
            <x v="16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365">
      <pivotArea dataOnly="0" labelOnly="1" fieldPosition="0">
        <references count="5">
          <reference field="0" count="1" selected="0">
            <x v="44"/>
          </reference>
          <reference field="9" count="1" selected="0">
            <x v="2"/>
          </reference>
          <reference field="10" count="1" selected="0">
            <x v="16"/>
          </reference>
          <reference field="14" count="1">
            <x v="20"/>
          </reference>
          <reference field="20" count="1" selected="0">
            <x v="1"/>
          </reference>
        </references>
      </pivotArea>
    </format>
    <format dxfId="366">
      <pivotArea dataOnly="0" labelOnly="1" fieldPosition="0">
        <references count="5">
          <reference field="0" count="1" selected="0">
            <x v="12"/>
          </reference>
          <reference field="9" count="1" selected="0">
            <x v="2"/>
          </reference>
          <reference field="10" count="1" selected="0">
            <x v="16"/>
          </reference>
          <reference field="14" count="1">
            <x v="27"/>
          </reference>
          <reference field="20" count="1" selected="0">
            <x v="2"/>
          </reference>
        </references>
      </pivotArea>
    </format>
    <format dxfId="367">
      <pivotArea dataOnly="0" labelOnly="1" fieldPosition="0">
        <references count="5">
          <reference field="0" count="1" selected="0">
            <x v="13"/>
          </reference>
          <reference field="9" count="1" selected="0">
            <x v="2"/>
          </reference>
          <reference field="10" count="1" selected="0">
            <x v="16"/>
          </reference>
          <reference field="14" count="1">
            <x v="27"/>
          </reference>
          <reference field="20" count="1" selected="0">
            <x v="2"/>
          </reference>
        </references>
      </pivotArea>
    </format>
    <format dxfId="368">
      <pivotArea dataOnly="0" labelOnly="1" fieldPosition="0">
        <references count="5">
          <reference field="0" count="1" selected="0">
            <x v="2"/>
          </reference>
          <reference field="9" count="1" selected="0">
            <x v="3"/>
          </reference>
          <reference field="10" count="1" selected="0">
            <x v="28"/>
          </reference>
          <reference field="14" count="1">
            <x v="21"/>
          </reference>
          <reference field="20" count="1" selected="0">
            <x v="0"/>
          </reference>
        </references>
      </pivotArea>
    </format>
    <format dxfId="369">
      <pivotArea dataOnly="0" labelOnly="1" fieldPosition="0">
        <references count="5">
          <reference field="0" count="1" selected="0">
            <x v="32"/>
          </reference>
          <reference field="9" count="1" selected="0">
            <x v="3"/>
          </reference>
          <reference field="10" count="1" selected="0">
            <x v="28"/>
          </reference>
          <reference field="14" count="1">
            <x v="21"/>
          </reference>
          <reference field="20" count="1" selected="0">
            <x v="0"/>
          </reference>
        </references>
      </pivotArea>
    </format>
    <format dxfId="370">
      <pivotArea dataOnly="0" labelOnly="1" fieldPosition="0">
        <references count="5">
          <reference field="0" count="1" selected="0">
            <x v="48"/>
          </reference>
          <reference field="9" count="1" selected="0">
            <x v="3"/>
          </reference>
          <reference field="10" count="1" selected="0">
            <x v="5"/>
          </reference>
          <reference field="14" count="1">
            <x v="20"/>
          </reference>
          <reference field="20" count="1" selected="0">
            <x v="1"/>
          </reference>
        </references>
      </pivotArea>
    </format>
    <format dxfId="371">
      <pivotArea dataOnly="0" labelOnly="1" fieldPosition="0">
        <references count="5">
          <reference field="0" count="1" selected="0">
            <x v="31"/>
          </reference>
          <reference field="9" count="1" selected="0">
            <x v="3"/>
          </reference>
          <reference field="10" count="1" selected="0">
            <x v="5"/>
          </reference>
          <reference field="14" count="1">
            <x v="23"/>
          </reference>
          <reference field="20" count="1" selected="0">
            <x v="2"/>
          </reference>
        </references>
      </pivotArea>
    </format>
    <format dxfId="372">
      <pivotArea dataOnly="0" labelOnly="1" fieldPosition="0">
        <references count="5">
          <reference field="0" count="1" selected="0">
            <x v="8"/>
          </reference>
          <reference field="9" count="1" selected="0">
            <x v="3"/>
          </reference>
          <reference field="10" count="1" selected="0">
            <x v="28"/>
          </reference>
          <reference field="14" count="1">
            <x v="23"/>
          </reference>
          <reference field="20" count="1" selected="0">
            <x v="2"/>
          </reference>
        </references>
      </pivotArea>
    </format>
    <format dxfId="373">
      <pivotArea dataOnly="0" labelOnly="1" fieldPosition="0">
        <references count="5">
          <reference field="0" count="1" selected="0">
            <x v="10"/>
          </reference>
          <reference field="9" count="1" selected="0">
            <x v="3"/>
          </reference>
          <reference field="10" count="1" selected="0">
            <x v="28"/>
          </reference>
          <reference field="14" count="1">
            <x v="23"/>
          </reference>
          <reference field="20" count="1" selected="0">
            <x v="2"/>
          </reference>
        </references>
      </pivotArea>
    </format>
    <format dxfId="374">
      <pivotArea dataOnly="0" labelOnly="1" fieldPosition="0">
        <references count="5">
          <reference field="0" count="1" selected="0">
            <x v="13"/>
          </reference>
          <reference field="9" count="1" selected="0">
            <x v="3"/>
          </reference>
          <reference field="10" count="1" selected="0">
            <x v="28"/>
          </reference>
          <reference field="14" count="1">
            <x v="23"/>
          </reference>
          <reference field="20" count="1" selected="0">
            <x v="2"/>
          </reference>
        </references>
      </pivotArea>
    </format>
    <format dxfId="375">
      <pivotArea dataOnly="0" labelOnly="1" fieldPosition="0">
        <references count="5">
          <reference field="0" count="1" selected="0">
            <x v="24"/>
          </reference>
          <reference field="9" count="1" selected="0">
            <x v="3"/>
          </reference>
          <reference field="10" count="1" selected="0">
            <x v="28"/>
          </reference>
          <reference field="14" count="1">
            <x v="23"/>
          </reference>
          <reference field="20" count="1" selected="0">
            <x v="2"/>
          </reference>
        </references>
      </pivotArea>
    </format>
    <format dxfId="376">
      <pivotArea dataOnly="0" labelOnly="1" fieldPosition="0">
        <references count="5">
          <reference field="0" count="1" selected="0">
            <x v="9"/>
          </reference>
          <reference field="9" count="1" selected="0">
            <x v="4"/>
          </reference>
          <reference field="10" count="1" selected="0">
            <x v="39"/>
          </reference>
          <reference field="14" count="1">
            <x v="36"/>
          </reference>
          <reference field="20" count="1" selected="0">
            <x v="0"/>
          </reference>
        </references>
      </pivotArea>
    </format>
    <format dxfId="377">
      <pivotArea dataOnly="0" labelOnly="1" fieldPosition="0">
        <references count="5">
          <reference field="0" count="1" selected="0">
            <x v="44"/>
          </reference>
          <reference field="9" count="1" selected="0">
            <x v="4"/>
          </reference>
          <reference field="10" count="1" selected="0">
            <x v="39"/>
          </reference>
          <reference field="14" count="1">
            <x v="30"/>
          </reference>
          <reference field="20" count="1" selected="0">
            <x v="1"/>
          </reference>
        </references>
      </pivotArea>
    </format>
    <format dxfId="378">
      <pivotArea dataOnly="0" labelOnly="1" fieldPosition="0">
        <references count="5">
          <reference field="0" count="1" selected="0">
            <x v="44"/>
          </reference>
          <reference field="9" count="1" selected="0">
            <x v="4"/>
          </reference>
          <reference field="10" count="1" selected="0">
            <x v="40"/>
          </reference>
          <reference field="14" count="1">
            <x v="30"/>
          </reference>
          <reference field="20" count="1" selected="0">
            <x v="1"/>
          </reference>
        </references>
      </pivotArea>
    </format>
    <format dxfId="379">
      <pivotArea dataOnly="0" labelOnly="1" fieldPosition="0">
        <references count="5">
          <reference field="0" count="1" selected="0">
            <x v="8"/>
          </reference>
          <reference field="9" count="1" selected="0">
            <x v="4"/>
          </reference>
          <reference field="10" count="1" selected="0">
            <x v="39"/>
          </reference>
          <reference field="14" count="1">
            <x v="36"/>
          </reference>
          <reference field="20" count="1" selected="0">
            <x v="2"/>
          </reference>
        </references>
      </pivotArea>
    </format>
    <format dxfId="380">
      <pivotArea dataOnly="0" labelOnly="1" fieldPosition="0">
        <references count="5">
          <reference field="0" count="1" selected="0">
            <x v="10"/>
          </reference>
          <reference field="9" count="1" selected="0">
            <x v="4"/>
          </reference>
          <reference field="10" count="1" selected="0">
            <x v="39"/>
          </reference>
          <reference field="14" count="1">
            <x v="36"/>
          </reference>
          <reference field="20" count="1" selected="0">
            <x v="2"/>
          </reference>
        </references>
      </pivotArea>
    </format>
    <format dxfId="381">
      <pivotArea dataOnly="0" labelOnly="1" fieldPosition="0">
        <references count="5">
          <reference field="0" count="1" selected="0">
            <x v="13"/>
          </reference>
          <reference field="9" count="1" selected="0">
            <x v="4"/>
          </reference>
          <reference field="10" count="1" selected="0">
            <x v="39"/>
          </reference>
          <reference field="14" count="1">
            <x v="36"/>
          </reference>
          <reference field="20" count="1" selected="0">
            <x v="2"/>
          </reference>
        </references>
      </pivotArea>
    </format>
    <format dxfId="382">
      <pivotArea dataOnly="0" labelOnly="1" fieldPosition="0">
        <references count="5">
          <reference field="0" count="1" selected="0">
            <x v="14"/>
          </reference>
          <reference field="9" count="1" selected="0">
            <x v="5"/>
          </reference>
          <reference field="10" count="1" selected="0">
            <x v="2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383">
      <pivotArea dataOnly="0" labelOnly="1" fieldPosition="0">
        <references count="5">
          <reference field="0" count="1" selected="0">
            <x v="17"/>
          </reference>
          <reference field="9" count="1" selected="0">
            <x v="5"/>
          </reference>
          <reference field="10" count="1" selected="0">
            <x v="2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384">
      <pivotArea dataOnly="0" labelOnly="1" fieldPosition="0">
        <references count="5">
          <reference field="0" count="1" selected="0">
            <x v="20"/>
          </reference>
          <reference field="9" count="1" selected="0">
            <x v="5"/>
          </reference>
          <reference field="10" count="1" selected="0">
            <x v="2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385">
      <pivotArea dataOnly="0" labelOnly="1" fieldPosition="0">
        <references count="5">
          <reference field="0" count="1" selected="0">
            <x v="32"/>
          </reference>
          <reference field="9" count="1" selected="0">
            <x v="5"/>
          </reference>
          <reference field="10" count="1" selected="0">
            <x v="2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386">
      <pivotArea dataOnly="0" labelOnly="1" fieldPosition="0">
        <references count="5">
          <reference field="0" count="1" selected="0">
            <x v="28"/>
          </reference>
          <reference field="9" count="1" selected="0">
            <x v="5"/>
          </reference>
          <reference field="10" count="1" selected="0">
            <x v="8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387">
      <pivotArea dataOnly="0" labelOnly="1" fieldPosition="0">
        <references count="5">
          <reference field="0" count="1" selected="0">
            <x v="21"/>
          </reference>
          <reference field="9" count="1" selected="0">
            <x v="5"/>
          </reference>
          <reference field="10" count="1" selected="0">
            <x v="9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388">
      <pivotArea dataOnly="0" labelOnly="1" fieldPosition="0">
        <references count="5">
          <reference field="0" count="1" selected="0">
            <x v="22"/>
          </reference>
          <reference field="9" count="1" selected="0">
            <x v="5"/>
          </reference>
          <reference field="10" count="1" selected="0">
            <x v="9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389">
      <pivotArea dataOnly="0" labelOnly="1" fieldPosition="0">
        <references count="5">
          <reference field="0" count="1" selected="0">
            <x v="28"/>
          </reference>
          <reference field="9" count="1" selected="0">
            <x v="5"/>
          </reference>
          <reference field="10" count="1" selected="0">
            <x v="9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390">
      <pivotArea dataOnly="0" labelOnly="1" fieldPosition="0">
        <references count="5">
          <reference field="0" count="1" selected="0">
            <x v="28"/>
          </reference>
          <reference field="9" count="1" selected="0">
            <x v="5"/>
          </reference>
          <reference field="10" count="1" selected="0">
            <x v="10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391">
      <pivotArea dataOnly="0" labelOnly="1" fieldPosition="0">
        <references count="5">
          <reference field="0" count="1" selected="0">
            <x v="14"/>
          </reference>
          <reference field="9" count="1" selected="0">
            <x v="5"/>
          </reference>
          <reference field="10" count="1" selected="0">
            <x v="22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392">
      <pivotArea dataOnly="0" labelOnly="1" fieldPosition="0">
        <references count="5">
          <reference field="0" count="1" selected="0">
            <x v="17"/>
          </reference>
          <reference field="9" count="1" selected="0">
            <x v="5"/>
          </reference>
          <reference field="10" count="1" selected="0">
            <x v="22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393">
      <pivotArea dataOnly="0" labelOnly="1" fieldPosition="0">
        <references count="5">
          <reference field="0" count="1" selected="0">
            <x v="22"/>
          </reference>
          <reference field="9" count="1" selected="0">
            <x v="5"/>
          </reference>
          <reference field="10" count="1" selected="0">
            <x v="22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394">
      <pivotArea dataOnly="0" labelOnly="1" fieldPosition="0">
        <references count="5">
          <reference field="0" count="1" selected="0">
            <x v="32"/>
          </reference>
          <reference field="9" count="1" selected="0">
            <x v="5"/>
          </reference>
          <reference field="10" count="1" selected="0">
            <x v="22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395">
      <pivotArea dataOnly="0" labelOnly="1" fieldPosition="0">
        <references count="5">
          <reference field="0" count="1" selected="0">
            <x v="18"/>
          </reference>
          <reference field="9" count="1" selected="0">
            <x v="5"/>
          </reference>
          <reference field="10" count="1" selected="0">
            <x v="23"/>
          </reference>
          <reference field="14" count="1">
            <x v="21"/>
          </reference>
          <reference field="20" count="1" selected="0">
            <x v="0"/>
          </reference>
        </references>
      </pivotArea>
    </format>
    <format dxfId="396">
      <pivotArea dataOnly="0" labelOnly="1" fieldPosition="0">
        <references count="5">
          <reference field="0" count="1" selected="0">
            <x v="34"/>
          </reference>
          <reference field="9" count="1" selected="0">
            <x v="5"/>
          </reference>
          <reference field="10" count="1" selected="0">
            <x v="2"/>
          </reference>
          <reference field="14" count="1">
            <x v="20"/>
          </reference>
          <reference field="20" count="1" selected="0">
            <x v="1"/>
          </reference>
        </references>
      </pivotArea>
    </format>
    <format dxfId="397">
      <pivotArea dataOnly="0" labelOnly="1" fieldPosition="0">
        <references count="5">
          <reference field="0" count="1" selected="0">
            <x v="34"/>
          </reference>
          <reference field="9" count="1" selected="0">
            <x v="5"/>
          </reference>
          <reference field="10" count="1" selected="0">
            <x v="8"/>
          </reference>
          <reference field="14" count="1">
            <x v="20"/>
          </reference>
          <reference field="20" count="1" selected="0">
            <x v="1"/>
          </reference>
        </references>
      </pivotArea>
    </format>
    <format dxfId="398">
      <pivotArea dataOnly="0" labelOnly="1" fieldPosition="0">
        <references count="5">
          <reference field="0" count="1" selected="0">
            <x v="50"/>
          </reference>
          <reference field="9" count="1" selected="0">
            <x v="5"/>
          </reference>
          <reference field="10" count="1" selected="0">
            <x v="8"/>
          </reference>
          <reference field="14" count="1">
            <x v="20"/>
          </reference>
          <reference field="20" count="1" selected="0">
            <x v="1"/>
          </reference>
        </references>
      </pivotArea>
    </format>
    <format dxfId="399">
      <pivotArea dataOnly="0" labelOnly="1" fieldPosition="0">
        <references count="5">
          <reference field="0" count="1" selected="0">
            <x v="54"/>
          </reference>
          <reference field="9" count="1" selected="0">
            <x v="5"/>
          </reference>
          <reference field="10" count="1" selected="0">
            <x v="8"/>
          </reference>
          <reference field="14" count="1">
            <x v="20"/>
          </reference>
          <reference field="20" count="1" selected="0">
            <x v="1"/>
          </reference>
        </references>
      </pivotArea>
    </format>
    <format dxfId="400">
      <pivotArea dataOnly="0" labelOnly="1" fieldPosition="0">
        <references count="5">
          <reference field="0" count="1" selected="0">
            <x v="51"/>
          </reference>
          <reference field="9" count="1" selected="0">
            <x v="5"/>
          </reference>
          <reference field="10" count="1" selected="0">
            <x v="38"/>
          </reference>
          <reference field="14" count="1">
            <x v="20"/>
          </reference>
          <reference field="20" count="1" selected="0">
            <x v="1"/>
          </reference>
        </references>
      </pivotArea>
    </format>
    <format dxfId="401">
      <pivotArea dataOnly="0" labelOnly="1" fieldPosition="0">
        <references count="5">
          <reference field="0" count="1" selected="0">
            <x v="34"/>
          </reference>
          <reference field="9" count="1" selected="0">
            <x v="5"/>
          </reference>
          <reference field="10" count="1" selected="0">
            <x v="43"/>
          </reference>
          <reference field="14" count="1">
            <x v="1"/>
          </reference>
          <reference field="20" count="1" selected="0">
            <x v="1"/>
          </reference>
        </references>
      </pivotArea>
    </format>
    <format dxfId="402">
      <pivotArea dataOnly="0" labelOnly="1" fieldPosition="0">
        <references count="5">
          <reference field="0" count="1" selected="0">
            <x v="4"/>
          </reference>
          <reference field="9" count="1" selected="0">
            <x v="5"/>
          </reference>
          <reference field="10" count="1" selected="0">
            <x v="2"/>
          </reference>
          <reference field="14" count="1">
            <x v="31"/>
          </reference>
          <reference field="20" count="1" selected="0">
            <x v="2"/>
          </reference>
        </references>
      </pivotArea>
    </format>
    <format dxfId="403">
      <pivotArea dataOnly="0" labelOnly="1" fieldPosition="0">
        <references count="5">
          <reference field="0" count="1" selected="0">
            <x v="7"/>
          </reference>
          <reference field="9" count="1" selected="0">
            <x v="5"/>
          </reference>
          <reference field="10" count="1" selected="0">
            <x v="2"/>
          </reference>
          <reference field="14" count="1">
            <x v="31"/>
          </reference>
          <reference field="20" count="1" selected="0">
            <x v="2"/>
          </reference>
        </references>
      </pivotArea>
    </format>
    <format dxfId="404">
      <pivotArea dataOnly="0" labelOnly="1" fieldPosition="0">
        <references count="5">
          <reference field="0" count="1" selected="0">
            <x v="8"/>
          </reference>
          <reference field="9" count="1" selected="0">
            <x v="5"/>
          </reference>
          <reference field="10" count="1" selected="0">
            <x v="2"/>
          </reference>
          <reference field="14" count="1">
            <x v="31"/>
          </reference>
          <reference field="20" count="1" selected="0">
            <x v="2"/>
          </reference>
        </references>
      </pivotArea>
    </format>
    <format dxfId="405">
      <pivotArea dataOnly="0" labelOnly="1" fieldPosition="0">
        <references count="5">
          <reference field="0" count="1" selected="0">
            <x v="10"/>
          </reference>
          <reference field="9" count="1" selected="0">
            <x v="5"/>
          </reference>
          <reference field="10" count="1" selected="0">
            <x v="2"/>
          </reference>
          <reference field="14" count="1">
            <x v="31"/>
          </reference>
          <reference field="20" count="1" selected="0">
            <x v="2"/>
          </reference>
        </references>
      </pivotArea>
    </format>
    <format dxfId="406">
      <pivotArea dataOnly="0" labelOnly="1" fieldPosition="0">
        <references count="5">
          <reference field="0" count="1" selected="0">
            <x v="12"/>
          </reference>
          <reference field="9" count="1" selected="0">
            <x v="5"/>
          </reference>
          <reference field="10" count="1" selected="0">
            <x v="2"/>
          </reference>
          <reference field="14" count="1">
            <x v="31"/>
          </reference>
          <reference field="20" count="1" selected="0">
            <x v="2"/>
          </reference>
        </references>
      </pivotArea>
    </format>
    <format dxfId="407">
      <pivotArea dataOnly="0" labelOnly="1" fieldPosition="0">
        <references count="5">
          <reference field="0" count="1" selected="0">
            <x v="13"/>
          </reference>
          <reference field="9" count="1" selected="0">
            <x v="5"/>
          </reference>
          <reference field="10" count="1" selected="0">
            <x v="2"/>
          </reference>
          <reference field="14" count="1">
            <x v="31"/>
          </reference>
          <reference field="20" count="1" selected="0">
            <x v="2"/>
          </reference>
        </references>
      </pivotArea>
    </format>
    <format dxfId="408">
      <pivotArea dataOnly="0" labelOnly="1" fieldPosition="0">
        <references count="5">
          <reference field="0" count="1" selected="0">
            <x v="57"/>
          </reference>
          <reference field="9" count="1" selected="0">
            <x v="5"/>
          </reference>
          <reference field="10" count="1" selected="0">
            <x v="2"/>
          </reference>
          <reference field="14" count="1">
            <x v="31"/>
          </reference>
          <reference field="20" count="1" selected="0">
            <x v="2"/>
          </reference>
        </references>
      </pivotArea>
    </format>
    <format dxfId="409">
      <pivotArea dataOnly="0" labelOnly="1" fieldPosition="0">
        <references count="5">
          <reference field="0" count="1" selected="0">
            <x v="4"/>
          </reference>
          <reference field="9" count="1" selected="0">
            <x v="5"/>
          </reference>
          <reference field="10" count="1" selected="0">
            <x v="8"/>
          </reference>
          <reference field="14" count="1">
            <x v="31"/>
          </reference>
          <reference field="20" count="1" selected="0">
            <x v="2"/>
          </reference>
        </references>
      </pivotArea>
    </format>
    <format dxfId="410">
      <pivotArea dataOnly="0" labelOnly="1" fieldPosition="0">
        <references count="5">
          <reference field="0" count="1" selected="0">
            <x v="8"/>
          </reference>
          <reference field="9" count="1" selected="0">
            <x v="5"/>
          </reference>
          <reference field="10" count="1" selected="0">
            <x v="8"/>
          </reference>
          <reference field="14" count="1">
            <x v="31"/>
          </reference>
          <reference field="20" count="1" selected="0">
            <x v="2"/>
          </reference>
        </references>
      </pivotArea>
    </format>
    <format dxfId="411">
      <pivotArea dataOnly="0" labelOnly="1" fieldPosition="0">
        <references count="5">
          <reference field="0" count="1" selected="0">
            <x v="12"/>
          </reference>
          <reference field="9" count="1" selected="0">
            <x v="5"/>
          </reference>
          <reference field="10" count="1" selected="0">
            <x v="8"/>
          </reference>
          <reference field="14" count="1">
            <x v="31"/>
          </reference>
          <reference field="20" count="1" selected="0">
            <x v="2"/>
          </reference>
        </references>
      </pivotArea>
    </format>
    <format dxfId="412">
      <pivotArea dataOnly="0" labelOnly="1" fieldPosition="0">
        <references count="5">
          <reference field="0" count="1" selected="0">
            <x v="13"/>
          </reference>
          <reference field="9" count="1" selected="0">
            <x v="5"/>
          </reference>
          <reference field="10" count="1" selected="0">
            <x v="8"/>
          </reference>
          <reference field="14" count="1">
            <x v="31"/>
          </reference>
          <reference field="20" count="1" selected="0">
            <x v="2"/>
          </reference>
        </references>
      </pivotArea>
    </format>
    <format dxfId="413">
      <pivotArea dataOnly="0" labelOnly="1" fieldPosition="0">
        <references count="5">
          <reference field="0" count="1" selected="0">
            <x v="27"/>
          </reference>
          <reference field="9" count="1" selected="0">
            <x v="5"/>
          </reference>
          <reference field="10" count="1" selected="0">
            <x v="8"/>
          </reference>
          <reference field="14" count="1">
            <x v="31"/>
          </reference>
          <reference field="20" count="1" selected="0">
            <x v="2"/>
          </reference>
        </references>
      </pivotArea>
    </format>
    <format dxfId="414">
      <pivotArea dataOnly="0" labelOnly="1" fieldPosition="0">
        <references count="5">
          <reference field="0" count="1" selected="0">
            <x v="8"/>
          </reference>
          <reference field="9" count="1" selected="0">
            <x v="5"/>
          </reference>
          <reference field="10" count="1" selected="0">
            <x v="9"/>
          </reference>
          <reference field="14" count="1">
            <x v="27"/>
          </reference>
          <reference field="20" count="1" selected="0">
            <x v="2"/>
          </reference>
        </references>
      </pivotArea>
    </format>
    <format dxfId="415">
      <pivotArea dataOnly="0" labelOnly="1" fieldPosition="0">
        <references count="5">
          <reference field="0" count="1" selected="0">
            <x v="4"/>
          </reference>
          <reference field="9" count="1" selected="0">
            <x v="5"/>
          </reference>
          <reference field="10" count="1" selected="0">
            <x v="38"/>
          </reference>
          <reference field="14" count="1">
            <x v="31"/>
          </reference>
          <reference field="20" count="1" selected="0">
            <x v="2"/>
          </reference>
        </references>
      </pivotArea>
    </format>
    <format dxfId="416">
      <pivotArea dataOnly="0" labelOnly="1" fieldPosition="0">
        <references count="5">
          <reference field="0" count="1" selected="0">
            <x v="8"/>
          </reference>
          <reference field="9" count="1" selected="0">
            <x v="5"/>
          </reference>
          <reference field="10" count="1" selected="0">
            <x v="38"/>
          </reference>
          <reference field="14" count="1">
            <x v="31"/>
          </reference>
          <reference field="20" count="1" selected="0">
            <x v="2"/>
          </reference>
        </references>
      </pivotArea>
    </format>
    <format dxfId="417">
      <pivotArea dataOnly="0" labelOnly="1" fieldPosition="0">
        <references count="5">
          <reference field="0" count="1" selected="0">
            <x v="10"/>
          </reference>
          <reference field="9" count="1" selected="0">
            <x v="5"/>
          </reference>
          <reference field="10" count="1" selected="0">
            <x v="38"/>
          </reference>
          <reference field="14" count="1">
            <x v="31"/>
          </reference>
          <reference field="20" count="1" selected="0">
            <x v="2"/>
          </reference>
        </references>
      </pivotArea>
    </format>
    <format dxfId="418">
      <pivotArea dataOnly="0" labelOnly="1" fieldPosition="0">
        <references count="5">
          <reference field="0" count="1" selected="0">
            <x v="12"/>
          </reference>
          <reference field="9" count="1" selected="0">
            <x v="5"/>
          </reference>
          <reference field="10" count="1" selected="0">
            <x v="38"/>
          </reference>
          <reference field="14" count="1">
            <x v="31"/>
          </reference>
          <reference field="20" count="1" selected="0">
            <x v="2"/>
          </reference>
        </references>
      </pivotArea>
    </format>
    <format dxfId="419">
      <pivotArea dataOnly="0" labelOnly="1" fieldPosition="0">
        <references count="5">
          <reference field="0" count="1" selected="0">
            <x v="13"/>
          </reference>
          <reference field="9" count="1" selected="0">
            <x v="5"/>
          </reference>
          <reference field="10" count="1" selected="0">
            <x v="38"/>
          </reference>
          <reference field="14" count="1">
            <x v="31"/>
          </reference>
          <reference field="20" count="1" selected="0">
            <x v="2"/>
          </reference>
        </references>
      </pivotArea>
    </format>
    <format dxfId="420">
      <pivotArea dataOnly="0" labelOnly="1" fieldPosition="0">
        <references count="5">
          <reference field="0" count="1" selected="0">
            <x v="25"/>
          </reference>
          <reference field="9" count="1" selected="0">
            <x v="5"/>
          </reference>
          <reference field="10" count="1" selected="0">
            <x v="38"/>
          </reference>
          <reference field="14" count="1">
            <x v="31"/>
          </reference>
          <reference field="20" count="1" selected="0">
            <x v="2"/>
          </reference>
        </references>
      </pivotArea>
    </format>
    <format dxfId="421">
      <pivotArea dataOnly="0" labelOnly="1" fieldPosition="0">
        <references count="5">
          <reference field="0" count="1" selected="0">
            <x v="57"/>
          </reference>
          <reference field="9" count="1" selected="0">
            <x v="5"/>
          </reference>
          <reference field="10" count="1" selected="0">
            <x v="38"/>
          </reference>
          <reference field="14" count="1">
            <x v="31"/>
          </reference>
          <reference field="20" count="1" selected="0">
            <x v="2"/>
          </reference>
        </references>
      </pivotArea>
    </format>
    <format dxfId="422">
      <pivotArea dataOnly="0" labelOnly="1" fieldPosition="0">
        <references count="5">
          <reference field="0" count="1" selected="0">
            <x v="12"/>
          </reference>
          <reference field="9" count="1" selected="0">
            <x v="5"/>
          </reference>
          <reference field="10" count="1" selected="0">
            <x v="43"/>
          </reference>
          <reference field="14" count="1">
            <x v="1"/>
          </reference>
          <reference field="20" count="1" selected="0">
            <x v="2"/>
          </reference>
        </references>
      </pivotArea>
    </format>
    <format dxfId="423">
      <pivotArea dataOnly="0" labelOnly="1" fieldPosition="0">
        <references count="5">
          <reference field="0" count="1" selected="0">
            <x v="17"/>
          </reference>
          <reference field="9" count="1" selected="0">
            <x v="6"/>
          </reference>
          <reference field="10" count="1" selected="0">
            <x v="33"/>
          </reference>
          <reference field="14" count="1">
            <x v="21"/>
          </reference>
          <reference field="20" count="1" selected="0">
            <x v="0"/>
          </reference>
        </references>
      </pivotArea>
    </format>
    <format dxfId="424">
      <pivotArea dataOnly="0" labelOnly="1" fieldPosition="0">
        <references count="5">
          <reference field="0" count="1" selected="0">
            <x v="32"/>
          </reference>
          <reference field="9" count="1" selected="0">
            <x v="6"/>
          </reference>
          <reference field="10" count="1" selected="0">
            <x v="33"/>
          </reference>
          <reference field="14" count="1">
            <x v="21"/>
          </reference>
          <reference field="20" count="1" selected="0">
            <x v="0"/>
          </reference>
        </references>
      </pivotArea>
    </format>
    <format dxfId="425">
      <pivotArea dataOnly="0" labelOnly="1" fieldPosition="0">
        <references count="5">
          <reference field="0" count="1" selected="0">
            <x v="47"/>
          </reference>
          <reference field="9" count="1" selected="0">
            <x v="6"/>
          </reference>
          <reference field="10" count="1" selected="0">
            <x v="33"/>
          </reference>
          <reference field="14" count="1">
            <x v="20"/>
          </reference>
          <reference field="20" count="1" selected="0">
            <x v="1"/>
          </reference>
        </references>
      </pivotArea>
    </format>
    <format dxfId="426">
      <pivotArea dataOnly="0" labelOnly="1" fieldPosition="0">
        <references count="5">
          <reference field="0" count="1" selected="0">
            <x v="48"/>
          </reference>
          <reference field="9" count="1" selected="0">
            <x v="6"/>
          </reference>
          <reference field="10" count="1" selected="0">
            <x v="33"/>
          </reference>
          <reference field="14" count="1">
            <x v="20"/>
          </reference>
          <reference field="20" count="1" selected="0">
            <x v="1"/>
          </reference>
        </references>
      </pivotArea>
    </format>
    <format dxfId="427">
      <pivotArea dataOnly="0" labelOnly="1" fieldPosition="0">
        <references count="5">
          <reference field="0" count="1" selected="0">
            <x v="33"/>
          </reference>
          <reference field="9" count="1" selected="0">
            <x v="7"/>
          </reference>
          <reference field="10" count="1" selected="0">
            <x v="7"/>
          </reference>
          <reference field="14" count="1">
            <x v="22"/>
          </reference>
          <reference field="20" count="1" selected="0">
            <x v="1"/>
          </reference>
        </references>
      </pivotArea>
    </format>
    <format dxfId="428">
      <pivotArea dataOnly="0" labelOnly="1" fieldPosition="0">
        <references count="5">
          <reference field="0" count="1" selected="0">
            <x v="39"/>
          </reference>
          <reference field="9" count="1" selected="0">
            <x v="7"/>
          </reference>
          <reference field="10" count="1" selected="0">
            <x v="7"/>
          </reference>
          <reference field="14" count="1">
            <x v="22"/>
          </reference>
          <reference field="20" count="1" selected="0">
            <x v="1"/>
          </reference>
        </references>
      </pivotArea>
    </format>
    <format dxfId="429">
      <pivotArea dataOnly="0" labelOnly="1" fieldPosition="0">
        <references count="5">
          <reference field="0" count="1" selected="0">
            <x v="22"/>
          </reference>
          <reference field="9" count="1" selected="0">
            <x v="8"/>
          </reference>
          <reference field="10" count="1" selected="0">
            <x v="3"/>
          </reference>
          <reference field="14" count="1">
            <x v="16"/>
          </reference>
          <reference field="20" count="1" selected="0">
            <x v="0"/>
          </reference>
        </references>
      </pivotArea>
    </format>
    <format dxfId="430">
      <pivotArea dataOnly="0" labelOnly="1" fieldPosition="0">
        <references count="5">
          <reference field="0" count="1" selected="0">
            <x v="32"/>
          </reference>
          <reference field="9" count="1" selected="0">
            <x v="8"/>
          </reference>
          <reference field="10" count="1" selected="0">
            <x v="3"/>
          </reference>
          <reference field="14" count="1">
            <x v="16"/>
          </reference>
          <reference field="20" count="1" selected="0">
            <x v="0"/>
          </reference>
        </references>
      </pivotArea>
    </format>
    <format dxfId="431">
      <pivotArea dataOnly="0" labelOnly="1" fieldPosition="0">
        <references count="5">
          <reference field="0" count="1" selected="0">
            <x v="22"/>
          </reference>
          <reference field="9" count="1" selected="0">
            <x v="8"/>
          </reference>
          <reference field="10" count="1" selected="0">
            <x v="31"/>
          </reference>
          <reference field="14" count="1">
            <x v="16"/>
          </reference>
          <reference field="20" count="1" selected="0">
            <x v="0"/>
          </reference>
        </references>
      </pivotArea>
    </format>
    <format dxfId="432">
      <pivotArea dataOnly="0" labelOnly="1" fieldPosition="0">
        <references count="5">
          <reference field="0" count="1" selected="0">
            <x v="28"/>
          </reference>
          <reference field="9" count="1" selected="0">
            <x v="8"/>
          </reference>
          <reference field="10" count="1" selected="0">
            <x v="45"/>
          </reference>
          <reference field="14" count="1">
            <x v="16"/>
          </reference>
          <reference field="20" count="1" selected="0">
            <x v="0"/>
          </reference>
        </references>
      </pivotArea>
    </format>
    <format dxfId="433">
      <pivotArea dataOnly="0" labelOnly="1" fieldPosition="0">
        <references count="5">
          <reference field="0" count="1" selected="0">
            <x v="44"/>
          </reference>
          <reference field="9" count="1" selected="0">
            <x v="8"/>
          </reference>
          <reference field="10" count="1" selected="0">
            <x v="31"/>
          </reference>
          <reference field="14" count="1">
            <x v="18"/>
          </reference>
          <reference field="20" count="1" selected="0">
            <x v="1"/>
          </reference>
        </references>
      </pivotArea>
    </format>
    <format dxfId="434">
      <pivotArea dataOnly="0" labelOnly="1" fieldPosition="0">
        <references count="5">
          <reference field="0" count="1" selected="0">
            <x v="1"/>
          </reference>
          <reference field="9" count="1" selected="0">
            <x v="8"/>
          </reference>
          <reference field="10" count="1" selected="0">
            <x v="3"/>
          </reference>
          <reference field="14" count="1">
            <x v="18"/>
          </reference>
          <reference field="20" count="1" selected="0">
            <x v="2"/>
          </reference>
        </references>
      </pivotArea>
    </format>
    <format dxfId="435">
      <pivotArea dataOnly="0" labelOnly="1" fieldPosition="0">
        <references count="5">
          <reference field="0" count="1" selected="0">
            <x v="8"/>
          </reference>
          <reference field="9" count="1" selected="0">
            <x v="8"/>
          </reference>
          <reference field="10" count="1" selected="0">
            <x v="3"/>
          </reference>
          <reference field="14" count="1">
            <x v="18"/>
          </reference>
          <reference field="20" count="1" selected="0">
            <x v="2"/>
          </reference>
        </references>
      </pivotArea>
    </format>
    <format dxfId="436">
      <pivotArea dataOnly="0" labelOnly="1" fieldPosition="0">
        <references count="5">
          <reference field="0" count="1" selected="0">
            <x v="10"/>
          </reference>
          <reference field="9" count="1" selected="0">
            <x v="8"/>
          </reference>
          <reference field="10" count="1" selected="0">
            <x v="3"/>
          </reference>
          <reference field="14" count="1">
            <x v="18"/>
          </reference>
          <reference field="20" count="1" selected="0">
            <x v="2"/>
          </reference>
        </references>
      </pivotArea>
    </format>
    <format dxfId="437">
      <pivotArea dataOnly="0" labelOnly="1" fieldPosition="0">
        <references count="5">
          <reference field="0" count="1" selected="0">
            <x v="12"/>
          </reference>
          <reference field="9" count="1" selected="0">
            <x v="8"/>
          </reference>
          <reference field="10" count="1" selected="0">
            <x v="3"/>
          </reference>
          <reference field="14" count="1">
            <x v="18"/>
          </reference>
          <reference field="20" count="1" selected="0">
            <x v="2"/>
          </reference>
        </references>
      </pivotArea>
    </format>
    <format dxfId="438">
      <pivotArea dataOnly="0" labelOnly="1" fieldPosition="0">
        <references count="5">
          <reference field="0" count="1" selected="0">
            <x v="13"/>
          </reference>
          <reference field="9" count="1" selected="0">
            <x v="8"/>
          </reference>
          <reference field="10" count="1" selected="0">
            <x v="3"/>
          </reference>
          <reference field="14" count="1">
            <x v="18"/>
          </reference>
          <reference field="20" count="1" selected="0">
            <x v="2"/>
          </reference>
        </references>
      </pivotArea>
    </format>
    <format dxfId="439">
      <pivotArea dataOnly="0" labelOnly="1" fieldPosition="0">
        <references count="5">
          <reference field="0" count="1" selected="0">
            <x v="26"/>
          </reference>
          <reference field="9" count="1" selected="0">
            <x v="8"/>
          </reference>
          <reference field="10" count="1" selected="0">
            <x v="3"/>
          </reference>
          <reference field="14" count="1">
            <x v="18"/>
          </reference>
          <reference field="20" count="1" selected="0">
            <x v="2"/>
          </reference>
        </references>
      </pivotArea>
    </format>
    <format dxfId="440">
      <pivotArea dataOnly="0" labelOnly="1" fieldPosition="0">
        <references count="5">
          <reference field="0" count="1" selected="0">
            <x v="8"/>
          </reference>
          <reference field="9" count="1" selected="0">
            <x v="8"/>
          </reference>
          <reference field="10" count="1" selected="0">
            <x v="31"/>
          </reference>
          <reference field="14" count="1">
            <x v="18"/>
          </reference>
          <reference field="20" count="1" selected="0">
            <x v="2"/>
          </reference>
        </references>
      </pivotArea>
    </format>
    <format dxfId="441">
      <pivotArea dataOnly="0" labelOnly="1" fieldPosition="0">
        <references count="5">
          <reference field="0" count="1" selected="0">
            <x v="12"/>
          </reference>
          <reference field="9" count="1" selected="0">
            <x v="8"/>
          </reference>
          <reference field="10" count="1" selected="0">
            <x v="31"/>
          </reference>
          <reference field="14" count="1">
            <x v="18"/>
          </reference>
          <reference field="20" count="1" selected="0">
            <x v="2"/>
          </reference>
        </references>
      </pivotArea>
    </format>
    <format dxfId="442">
      <pivotArea dataOnly="0" labelOnly="1" fieldPosition="0">
        <references count="5">
          <reference field="0" count="1" selected="0">
            <x v="4"/>
          </reference>
          <reference field="9" count="1" selected="0">
            <x v="8"/>
          </reference>
          <reference field="10" count="1" selected="0">
            <x v="45"/>
          </reference>
          <reference field="14" count="1">
            <x v="17"/>
          </reference>
          <reference field="20" count="1" selected="0">
            <x v="2"/>
          </reference>
        </references>
      </pivotArea>
    </format>
    <format dxfId="443">
      <pivotArea dataOnly="0" labelOnly="1" fieldPosition="0">
        <references count="5">
          <reference field="0" count="1" selected="0">
            <x v="44"/>
          </reference>
          <reference field="9" count="1" selected="0">
            <x v="9"/>
          </reference>
          <reference field="10" count="1" selected="0">
            <x v="14"/>
          </reference>
          <reference field="14" count="1">
            <x v="10"/>
          </reference>
          <reference field="20" count="1" selected="0">
            <x v="1"/>
          </reference>
        </references>
      </pivotArea>
    </format>
    <format dxfId="444">
      <pivotArea dataOnly="0" labelOnly="1" fieldPosition="0">
        <references count="5">
          <reference field="0" count="1" selected="0">
            <x v="7"/>
          </reference>
          <reference field="9" count="1" selected="0">
            <x v="9"/>
          </reference>
          <reference field="10" count="1" selected="0">
            <x v="14"/>
          </reference>
          <reference field="14" count="1">
            <x v="28"/>
          </reference>
          <reference field="20" count="1" selected="0">
            <x v="2"/>
          </reference>
        </references>
      </pivotArea>
    </format>
    <format dxfId="445">
      <pivotArea dataOnly="0" labelOnly="1" fieldPosition="0">
        <references count="5">
          <reference field="0" count="1" selected="0">
            <x v="12"/>
          </reference>
          <reference field="9" count="1" selected="0">
            <x v="9"/>
          </reference>
          <reference field="10" count="1" selected="0">
            <x v="14"/>
          </reference>
          <reference field="14" count="1">
            <x v="28"/>
          </reference>
          <reference field="20" count="1" selected="0">
            <x v="2"/>
          </reference>
        </references>
      </pivotArea>
    </format>
    <format dxfId="446">
      <pivotArea dataOnly="0" labelOnly="1" fieldPosition="0">
        <references count="5">
          <reference field="0" count="1" selected="0">
            <x v="15"/>
          </reference>
          <reference field="9" count="1" selected="0">
            <x v="10"/>
          </reference>
          <reference field="10" count="1" selected="0">
            <x v="15"/>
          </reference>
          <reference field="14" count="1">
            <x v="35"/>
          </reference>
          <reference field="20" count="1" selected="0">
            <x v="0"/>
          </reference>
        </references>
      </pivotArea>
    </format>
    <format dxfId="447">
      <pivotArea dataOnly="0" labelOnly="1" fieldPosition="0">
        <references count="5">
          <reference field="0" count="1" selected="0">
            <x v="49"/>
          </reference>
          <reference field="9" count="1" selected="0">
            <x v="10"/>
          </reference>
          <reference field="10" count="1" selected="0">
            <x v="15"/>
          </reference>
          <reference field="14" count="1">
            <x v="35"/>
          </reference>
          <reference field="20" count="1" selected="0">
            <x v="1"/>
          </reference>
        </references>
      </pivotArea>
    </format>
    <format dxfId="448">
      <pivotArea dataOnly="0" labelOnly="1" fieldPosition="0">
        <references count="5">
          <reference field="0" count="1" selected="0">
            <x v="13"/>
          </reference>
          <reference field="9" count="1" selected="0">
            <x v="10"/>
          </reference>
          <reference field="10" count="1" selected="0">
            <x v="15"/>
          </reference>
          <reference field="14" count="1">
            <x v="35"/>
          </reference>
          <reference field="20" count="1" selected="0">
            <x v="2"/>
          </reference>
        </references>
      </pivotArea>
    </format>
    <format dxfId="449">
      <pivotArea dataOnly="0" labelOnly="1" fieldPosition="0">
        <references count="5">
          <reference field="0" count="1" selected="0">
            <x v="23"/>
          </reference>
          <reference field="9" count="1" selected="0">
            <x v="10"/>
          </reference>
          <reference field="10" count="1" selected="0">
            <x v="15"/>
          </reference>
          <reference field="14" count="1">
            <x v="35"/>
          </reference>
          <reference field="20" count="1" selected="0">
            <x v="2"/>
          </reference>
        </references>
      </pivotArea>
    </format>
    <format dxfId="450">
      <pivotArea dataOnly="0" labelOnly="1" fieldPosition="0">
        <references count="5">
          <reference field="0" count="1" selected="0">
            <x v="14"/>
          </reference>
          <reference field="9" count="1" selected="0">
            <x v="11"/>
          </reference>
          <reference field="10" count="1" selected="0">
            <x v="34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451">
      <pivotArea dataOnly="0" labelOnly="1" fieldPosition="0">
        <references count="5">
          <reference field="0" count="1" selected="0">
            <x v="15"/>
          </reference>
          <reference field="9" count="1" selected="0">
            <x v="11"/>
          </reference>
          <reference field="10" count="1" selected="0">
            <x v="34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452">
      <pivotArea dataOnly="0" labelOnly="1" fieldPosition="0">
        <references count="5">
          <reference field="0" count="1" selected="0">
            <x v="32"/>
          </reference>
          <reference field="9" count="1" selected="0">
            <x v="11"/>
          </reference>
          <reference field="10" count="1" selected="0">
            <x v="34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453">
      <pivotArea dataOnly="0" labelOnly="1" fieldPosition="0">
        <references count="5">
          <reference field="0" count="1" selected="0">
            <x v="14"/>
          </reference>
          <reference field="9" count="1" selected="0">
            <x v="11"/>
          </reference>
          <reference field="10" count="1" selected="0">
            <x v="46"/>
          </reference>
          <reference field="14" count="1">
            <x v="33"/>
          </reference>
          <reference field="20" count="1" selected="0">
            <x v="0"/>
          </reference>
        </references>
      </pivotArea>
    </format>
    <format dxfId="454">
      <pivotArea dataOnly="0" labelOnly="1" fieldPosition="0">
        <references count="5">
          <reference field="0" count="1" selected="0">
            <x v="48"/>
          </reference>
          <reference field="9" count="1" selected="0">
            <x v="11"/>
          </reference>
          <reference field="10" count="1" selected="0">
            <x v="34"/>
          </reference>
          <reference field="14" count="1">
            <x v="22"/>
          </reference>
          <reference field="20" count="1" selected="0">
            <x v="1"/>
          </reference>
        </references>
      </pivotArea>
    </format>
    <format dxfId="455">
      <pivotArea dataOnly="0" labelOnly="1" fieldPosition="0">
        <references count="5">
          <reference field="0" count="1" selected="0">
            <x v="14"/>
          </reference>
          <reference field="9" count="1" selected="0">
            <x v="12"/>
          </reference>
          <reference field="10" count="1" selected="0">
            <x v="20"/>
          </reference>
          <reference field="14" count="1">
            <x v="7"/>
          </reference>
          <reference field="20" count="1" selected="0">
            <x v="0"/>
          </reference>
        </references>
      </pivotArea>
    </format>
    <format dxfId="456">
      <pivotArea dataOnly="0" labelOnly="1" fieldPosition="0">
        <references count="5">
          <reference field="0" count="1" selected="0">
            <x v="0"/>
          </reference>
          <reference field="9" count="1" selected="0">
            <x v="13"/>
          </reference>
          <reference field="10" count="1" selected="0">
            <x v="21"/>
          </reference>
          <reference field="14" count="2">
            <x v="12"/>
            <x v="25"/>
          </reference>
          <reference field="20" count="1" selected="0">
            <x v="2"/>
          </reference>
        </references>
      </pivotArea>
    </format>
    <format dxfId="457">
      <pivotArea dataOnly="0" labelOnly="1" fieldPosition="0">
        <references count="5">
          <reference field="0" count="1" selected="0">
            <x v="50"/>
          </reference>
          <reference field="9" count="1" selected="0">
            <x v="14"/>
          </reference>
          <reference field="10" count="1" selected="0">
            <x v="30"/>
          </reference>
          <reference field="14" count="1">
            <x v="8"/>
          </reference>
          <reference field="20" count="1" selected="0">
            <x v="1"/>
          </reference>
        </references>
      </pivotArea>
    </format>
    <format dxfId="458">
      <pivotArea dataOnly="0" labelOnly="1" fieldPosition="0">
        <references count="5">
          <reference field="0" count="1" selected="0">
            <x v="53"/>
          </reference>
          <reference field="9" count="1" selected="0">
            <x v="14"/>
          </reference>
          <reference field="10" count="1" selected="0">
            <x v="30"/>
          </reference>
          <reference field="14" count="1">
            <x v="8"/>
          </reference>
          <reference field="20" count="1" selected="0">
            <x v="1"/>
          </reference>
        </references>
      </pivotArea>
    </format>
    <format dxfId="459">
      <pivotArea dataOnly="0" labelOnly="1" fieldPosition="0">
        <references count="5">
          <reference field="0" count="1" selected="0">
            <x v="55"/>
          </reference>
          <reference field="9" count="1" selected="0">
            <x v="14"/>
          </reference>
          <reference field="10" count="1" selected="0">
            <x v="30"/>
          </reference>
          <reference field="14" count="1">
            <x v="8"/>
          </reference>
          <reference field="20" count="1" selected="0">
            <x v="1"/>
          </reference>
        </references>
      </pivotArea>
    </format>
    <format dxfId="460">
      <pivotArea dataOnly="0" labelOnly="1" fieldPosition="0">
        <references count="5">
          <reference field="0" count="1" selected="0">
            <x v="56"/>
          </reference>
          <reference field="9" count="1" selected="0">
            <x v="14"/>
          </reference>
          <reference field="10" count="1" selected="0">
            <x v="30"/>
          </reference>
          <reference field="14" count="1">
            <x v="8"/>
          </reference>
          <reference field="20" count="1" selected="0">
            <x v="1"/>
          </reference>
        </references>
      </pivotArea>
    </format>
    <format dxfId="461">
      <pivotArea dataOnly="0" labelOnly="1" fieldPosition="0">
        <references count="5">
          <reference field="0" count="1" selected="0">
            <x v="8"/>
          </reference>
          <reference field="9" count="1" selected="0">
            <x v="14"/>
          </reference>
          <reference field="10" count="1" selected="0">
            <x v="30"/>
          </reference>
          <reference field="14" count="1">
            <x v="23"/>
          </reference>
          <reference field="20" count="1" selected="0">
            <x v="2"/>
          </reference>
        </references>
      </pivotArea>
    </format>
    <format dxfId="462">
      <pivotArea dataOnly="0" labelOnly="1" fieldPosition="0">
        <references count="5">
          <reference field="0" count="1" selected="0">
            <x v="12"/>
          </reference>
          <reference field="9" count="1" selected="0">
            <x v="14"/>
          </reference>
          <reference field="10" count="1" selected="0">
            <x v="30"/>
          </reference>
          <reference field="14" count="1">
            <x v="23"/>
          </reference>
          <reference field="20" count="1" selected="0">
            <x v="2"/>
          </reference>
        </references>
      </pivotArea>
    </format>
    <format dxfId="463">
      <pivotArea dataOnly="0" labelOnly="1" fieldPosition="0">
        <references count="5">
          <reference field="0" count="1" selected="0">
            <x v="44"/>
          </reference>
          <reference field="9" count="1" selected="0">
            <x v="15"/>
          </reference>
          <reference field="10" count="1" selected="0">
            <x v="26"/>
          </reference>
          <reference field="14" count="1">
            <x v="20"/>
          </reference>
          <reference field="20" count="1" selected="0">
            <x v="1"/>
          </reference>
        </references>
      </pivotArea>
    </format>
    <format dxfId="464">
      <pivotArea dataOnly="0" labelOnly="1" fieldPosition="0">
        <references count="5">
          <reference field="0" count="1" selected="0">
            <x v="50"/>
          </reference>
          <reference field="9" count="1" selected="0">
            <x v="15"/>
          </reference>
          <reference field="10" count="1" selected="0">
            <x v="26"/>
          </reference>
          <reference field="14" count="1">
            <x v="20"/>
          </reference>
          <reference field="20" count="1" selected="0">
            <x v="1"/>
          </reference>
        </references>
      </pivotArea>
    </format>
    <format dxfId="465">
      <pivotArea dataOnly="0" labelOnly="1" fieldPosition="0">
        <references count="5">
          <reference field="0" count="1" selected="0">
            <x v="8"/>
          </reference>
          <reference field="9" count="1" selected="0">
            <x v="15"/>
          </reference>
          <reference field="10" count="1" selected="0">
            <x v="26"/>
          </reference>
          <reference field="14" count="1">
            <x v="25"/>
          </reference>
          <reference field="20" count="1" selected="0">
            <x v="2"/>
          </reference>
        </references>
      </pivotArea>
    </format>
    <format dxfId="466">
      <pivotArea dataOnly="0" labelOnly="1" fieldPosition="0">
        <references count="5">
          <reference field="0" count="1" selected="0">
            <x v="12"/>
          </reference>
          <reference field="9" count="1" selected="0">
            <x v="15"/>
          </reference>
          <reference field="10" count="1" selected="0">
            <x v="26"/>
          </reference>
          <reference field="14" count="1">
            <x v="25"/>
          </reference>
          <reference field="20" count="1" selected="0">
            <x v="2"/>
          </reference>
        </references>
      </pivotArea>
    </format>
    <format dxfId="467">
      <pivotArea dataOnly="0" labelOnly="1" fieldPosition="0">
        <references count="5">
          <reference field="0" count="1" selected="0">
            <x v="42"/>
          </reference>
          <reference field="9" count="1" selected="0">
            <x v="16"/>
          </reference>
          <reference field="10" count="1" selected="0">
            <x v="29"/>
          </reference>
          <reference field="14" count="1">
            <x v="24"/>
          </reference>
          <reference field="20" count="1" selected="0">
            <x v="1"/>
          </reference>
        </references>
      </pivotArea>
    </format>
    <format dxfId="468">
      <pivotArea dataOnly="0" labelOnly="1" fieldPosition="0">
        <references count="5">
          <reference field="0" count="1" selected="0">
            <x v="51"/>
          </reference>
          <reference field="9" count="1" selected="0">
            <x v="16"/>
          </reference>
          <reference field="10" count="1" selected="0">
            <x v="29"/>
          </reference>
          <reference field="14" count="1">
            <x v="24"/>
          </reference>
          <reference field="20" count="1" selected="0">
            <x v="1"/>
          </reference>
        </references>
      </pivotArea>
    </format>
    <format dxfId="469">
      <pivotArea dataOnly="0" labelOnly="1" fieldPosition="0">
        <references count="5">
          <reference field="0" count="1" selected="0">
            <x v="36"/>
          </reference>
          <reference field="9" count="1" selected="0">
            <x v="17"/>
          </reference>
          <reference field="10" count="1" selected="0">
            <x v="18"/>
          </reference>
          <reference field="14" count="1">
            <x v="6"/>
          </reference>
          <reference field="20" count="1" selected="0">
            <x v="1"/>
          </reference>
        </references>
      </pivotArea>
    </format>
    <format dxfId="470">
      <pivotArea dataOnly="0" labelOnly="1" fieldPosition="0">
        <references count="5">
          <reference field="0" count="1" selected="0">
            <x v="14"/>
          </reference>
          <reference field="9" count="1" selected="0">
            <x v="18"/>
          </reference>
          <reference field="10" count="1" selected="0">
            <x v="0"/>
          </reference>
          <reference field="14" count="1">
            <x v="21"/>
          </reference>
          <reference field="20" count="1" selected="0">
            <x v="0"/>
          </reference>
        </references>
      </pivotArea>
    </format>
    <format dxfId="471">
      <pivotArea dataOnly="0" labelOnly="1" fieldPosition="0">
        <references count="5">
          <reference field="0" count="1" selected="0">
            <x v="48"/>
          </reference>
          <reference field="9" count="1" selected="0">
            <x v="18"/>
          </reference>
          <reference field="10" count="1" selected="0">
            <x v="0"/>
          </reference>
          <reference field="14" count="1">
            <x v="21"/>
          </reference>
          <reference field="20" count="1" selected="0">
            <x v="1"/>
          </reference>
        </references>
      </pivotArea>
    </format>
    <format dxfId="472">
      <pivotArea dataOnly="0" labelOnly="1" fieldPosition="0">
        <references count="5">
          <reference field="0" count="1" selected="0">
            <x v="40"/>
          </reference>
          <reference field="9" count="1" selected="0">
            <x v="18"/>
          </reference>
          <reference field="10" count="1" selected="0">
            <x v="12"/>
          </reference>
          <reference field="14" count="1">
            <x v="0"/>
          </reference>
          <reference field="20" count="1" selected="0">
            <x v="1"/>
          </reference>
        </references>
      </pivotArea>
    </format>
    <format dxfId="473">
      <pivotArea dataOnly="0" labelOnly="1" fieldPosition="0">
        <references count="5">
          <reference field="0" count="1" selected="0">
            <x v="42"/>
          </reference>
          <reference field="9" count="1" selected="0">
            <x v="18"/>
          </reference>
          <reference field="10" count="1" selected="0">
            <x v="32"/>
          </reference>
          <reference field="14" count="1">
            <x v="34"/>
          </reference>
          <reference field="20" count="1" selected="0">
            <x v="1"/>
          </reference>
        </references>
      </pivotArea>
    </format>
    <format dxfId="474">
      <pivotArea dataOnly="0" labelOnly="1" fieldPosition="0">
        <references count="5">
          <reference field="0" count="1" selected="0">
            <x v="37"/>
          </reference>
          <reference field="9" count="1" selected="0">
            <x v="19"/>
          </reference>
          <reference field="10" count="1" selected="0">
            <x v="35"/>
          </reference>
          <reference field="14" count="1">
            <x v="13"/>
          </reference>
          <reference field="20" count="1" selected="0">
            <x v="1"/>
          </reference>
        </references>
      </pivotArea>
    </format>
    <format dxfId="475">
      <pivotArea dataOnly="0" labelOnly="1" fieldPosition="0">
        <references count="5">
          <reference field="0" count="1" selected="0">
            <x v="14"/>
          </reference>
          <reference field="9" count="1" selected="0">
            <x v="20"/>
          </reference>
          <reference field="10" count="1" selected="0">
            <x v="11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476">
      <pivotArea dataOnly="0" labelOnly="1" fieldPosition="0">
        <references count="5">
          <reference field="0" count="1" selected="0">
            <x v="15"/>
          </reference>
          <reference field="9" count="1" selected="0">
            <x v="20"/>
          </reference>
          <reference field="10" count="1" selected="0">
            <x v="11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477">
      <pivotArea dataOnly="0" labelOnly="1" fieldPosition="0">
        <references count="5">
          <reference field="0" count="1" selected="0">
            <x v="28"/>
          </reference>
          <reference field="9" count="1" selected="0">
            <x v="20"/>
          </reference>
          <reference field="10" count="1" selected="0">
            <x v="11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478">
      <pivotArea dataOnly="0" labelOnly="1" fieldPosition="0">
        <references count="5">
          <reference field="0" count="1" selected="0">
            <x v="32"/>
          </reference>
          <reference field="9" count="1" selected="0">
            <x v="20"/>
          </reference>
          <reference field="10" count="1" selected="0">
            <x v="11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479">
      <pivotArea dataOnly="0" labelOnly="1" fieldPosition="0">
        <references count="5">
          <reference field="0" count="1" selected="0">
            <x v="14"/>
          </reference>
          <reference field="9" count="1" selected="0">
            <x v="20"/>
          </reference>
          <reference field="10" count="1" selected="0">
            <x v="19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480">
      <pivotArea dataOnly="0" labelOnly="1" fieldPosition="0">
        <references count="5">
          <reference field="0" count="1" selected="0">
            <x v="15"/>
          </reference>
          <reference field="9" count="1" selected="0">
            <x v="20"/>
          </reference>
          <reference field="10" count="1" selected="0">
            <x v="19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481">
      <pivotArea dataOnly="0" labelOnly="1" fieldPosition="0">
        <references count="5">
          <reference field="0" count="1" selected="0">
            <x v="16"/>
          </reference>
          <reference field="9" count="1" selected="0">
            <x v="20"/>
          </reference>
          <reference field="10" count="1" selected="0">
            <x v="19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482">
      <pivotArea dataOnly="0" labelOnly="1" fieldPosition="0">
        <references count="5">
          <reference field="0" count="1" selected="0">
            <x v="17"/>
          </reference>
          <reference field="9" count="1" selected="0">
            <x v="20"/>
          </reference>
          <reference field="10" count="1" selected="0">
            <x v="19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483">
      <pivotArea dataOnly="0" labelOnly="1" fieldPosition="0">
        <references count="5">
          <reference field="0" count="1" selected="0">
            <x v="28"/>
          </reference>
          <reference field="9" count="1" selected="0">
            <x v="20"/>
          </reference>
          <reference field="10" count="1" selected="0">
            <x v="19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484">
      <pivotArea dataOnly="0" labelOnly="1" fieldPosition="0">
        <references count="5">
          <reference field="0" count="1" selected="0">
            <x v="32"/>
          </reference>
          <reference field="9" count="1" selected="0">
            <x v="20"/>
          </reference>
          <reference field="10" count="1" selected="0">
            <x v="19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485">
      <pivotArea dataOnly="0" labelOnly="1" fieldPosition="0">
        <references count="5">
          <reference field="0" count="1" selected="0">
            <x v="6"/>
          </reference>
          <reference field="9" count="1" selected="0">
            <x v="20"/>
          </reference>
          <reference field="10" count="1" selected="0">
            <x v="27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486">
      <pivotArea dataOnly="0" labelOnly="1" fieldPosition="0">
        <references count="5">
          <reference field="0" count="1" selected="0">
            <x v="14"/>
          </reference>
          <reference field="9" count="1" selected="0">
            <x v="20"/>
          </reference>
          <reference field="10" count="1" selected="0">
            <x v="27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487">
      <pivotArea dataOnly="0" labelOnly="1" fieldPosition="0">
        <references count="5">
          <reference field="0" count="1" selected="0">
            <x v="17"/>
          </reference>
          <reference field="9" count="1" selected="0">
            <x v="20"/>
          </reference>
          <reference field="10" count="1" selected="0">
            <x v="27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488">
      <pivotArea dataOnly="0" labelOnly="1" fieldPosition="0">
        <references count="5">
          <reference field="0" count="1" selected="0">
            <x v="20"/>
          </reference>
          <reference field="9" count="1" selected="0">
            <x v="20"/>
          </reference>
          <reference field="10" count="1" selected="0">
            <x v="27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489">
      <pivotArea dataOnly="0" labelOnly="1" fieldPosition="0">
        <references count="5">
          <reference field="0" count="1" selected="0">
            <x v="28"/>
          </reference>
          <reference field="9" count="1" selected="0">
            <x v="20"/>
          </reference>
          <reference field="10" count="1" selected="0">
            <x v="27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490">
      <pivotArea dataOnly="0" labelOnly="1" fieldPosition="0">
        <references count="5">
          <reference field="0" count="1" selected="0">
            <x v="29"/>
          </reference>
          <reference field="9" count="1" selected="0">
            <x v="20"/>
          </reference>
          <reference field="10" count="1" selected="0">
            <x v="27"/>
          </reference>
          <reference field="14" count="1">
            <x v="31"/>
          </reference>
          <reference field="20" count="1" selected="0">
            <x v="0"/>
          </reference>
        </references>
      </pivotArea>
    </format>
    <format dxfId="491">
      <pivotArea dataOnly="0" labelOnly="1" fieldPosition="0">
        <references count="5">
          <reference field="0" count="1" selected="0">
            <x v="32"/>
          </reference>
          <reference field="9" count="1" selected="0">
            <x v="20"/>
          </reference>
          <reference field="10" count="1" selected="0">
            <x v="27"/>
          </reference>
          <reference field="14" count="1">
            <x v="22"/>
          </reference>
          <reference field="20" count="1" selected="0">
            <x v="0"/>
          </reference>
        </references>
      </pivotArea>
    </format>
    <format dxfId="492">
      <pivotArea dataOnly="0" labelOnly="1" fieldPosition="0">
        <references count="5">
          <reference field="0" count="1" selected="0">
            <x v="43"/>
          </reference>
          <reference field="9" count="1" selected="0">
            <x v="20"/>
          </reference>
          <reference field="10" count="1" selected="0">
            <x v="11"/>
          </reference>
          <reference field="14" count="1">
            <x v="20"/>
          </reference>
          <reference field="20" count="1" selected="0">
            <x v="1"/>
          </reference>
        </references>
      </pivotArea>
    </format>
    <format dxfId="493">
      <pivotArea dataOnly="0" labelOnly="1" fieldPosition="0">
        <references count="5">
          <reference field="0" count="1" selected="0">
            <x v="42"/>
          </reference>
          <reference field="9" count="1" selected="0">
            <x v="20"/>
          </reference>
          <reference field="10" count="1" selected="0">
            <x v="19"/>
          </reference>
          <reference field="14" count="1">
            <x v="20"/>
          </reference>
          <reference field="20" count="1" selected="0">
            <x v="1"/>
          </reference>
        </references>
      </pivotArea>
    </format>
    <format dxfId="494">
      <pivotArea dataOnly="0" labelOnly="1" fieldPosition="0">
        <references count="5">
          <reference field="0" count="1" selected="0">
            <x v="44"/>
          </reference>
          <reference field="9" count="1" selected="0">
            <x v="20"/>
          </reference>
          <reference field="10" count="1" selected="0">
            <x v="19"/>
          </reference>
          <reference field="14" count="1">
            <x v="20"/>
          </reference>
          <reference field="20" count="1" selected="0">
            <x v="1"/>
          </reference>
        </references>
      </pivotArea>
    </format>
    <format dxfId="495">
      <pivotArea dataOnly="0" labelOnly="1" fieldPosition="0">
        <references count="5">
          <reference field="0" count="1" selected="0">
            <x v="45"/>
          </reference>
          <reference field="9" count="1" selected="0">
            <x v="20"/>
          </reference>
          <reference field="10" count="1" selected="0">
            <x v="19"/>
          </reference>
          <reference field="14" count="1">
            <x v="20"/>
          </reference>
          <reference field="20" count="1" selected="0">
            <x v="1"/>
          </reference>
        </references>
      </pivotArea>
    </format>
    <format dxfId="496">
      <pivotArea dataOnly="0" labelOnly="1" fieldPosition="0">
        <references count="5">
          <reference field="0" count="1" selected="0">
            <x v="46"/>
          </reference>
          <reference field="9" count="1" selected="0">
            <x v="20"/>
          </reference>
          <reference field="10" count="1" selected="0">
            <x v="19"/>
          </reference>
          <reference field="14" count="1">
            <x v="20"/>
          </reference>
          <reference field="20" count="1" selected="0">
            <x v="1"/>
          </reference>
        </references>
      </pivotArea>
    </format>
    <format dxfId="497">
      <pivotArea dataOnly="0" labelOnly="1" fieldPosition="0">
        <references count="5">
          <reference field="0" count="1" selected="0">
            <x v="44"/>
          </reference>
          <reference field="9" count="1" selected="0">
            <x v="20"/>
          </reference>
          <reference field="10" count="1" selected="0">
            <x v="27"/>
          </reference>
          <reference field="14" count="1">
            <x v="20"/>
          </reference>
          <reference field="20" count="1" selected="0">
            <x v="1"/>
          </reference>
        </references>
      </pivotArea>
    </format>
    <format dxfId="498">
      <pivotArea dataOnly="0" labelOnly="1" fieldPosition="0">
        <references count="5">
          <reference field="0" count="1" selected="0">
            <x v="10"/>
          </reference>
          <reference field="9" count="1" selected="0">
            <x v="20"/>
          </reference>
          <reference field="10" count="1" selected="0">
            <x v="19"/>
          </reference>
          <reference field="14" count="1">
            <x v="29"/>
          </reference>
          <reference field="20" count="1" selected="0">
            <x v="2"/>
          </reference>
        </references>
      </pivotArea>
    </format>
    <format dxfId="499">
      <pivotArea dataOnly="0" labelOnly="1" fieldPosition="0">
        <references count="5">
          <reference field="0" count="1" selected="0">
            <x v="12"/>
          </reference>
          <reference field="9" count="1" selected="0">
            <x v="20"/>
          </reference>
          <reference field="10" count="1" selected="0">
            <x v="19"/>
          </reference>
          <reference field="14" count="1">
            <x v="29"/>
          </reference>
          <reference field="20" count="1" selected="0">
            <x v="2"/>
          </reference>
        </references>
      </pivotArea>
    </format>
    <format dxfId="500">
      <pivotArea dataOnly="0" labelOnly="1" fieldPosition="0">
        <references count="5">
          <reference field="0" count="1" selected="0">
            <x v="13"/>
          </reference>
          <reference field="9" count="1" selected="0">
            <x v="20"/>
          </reference>
          <reference field="10" count="1" selected="0">
            <x v="19"/>
          </reference>
          <reference field="14" count="1">
            <x v="29"/>
          </reference>
          <reference field="20" count="1" selected="0">
            <x v="2"/>
          </reference>
        </references>
      </pivotArea>
    </format>
    <format dxfId="501">
      <pivotArea dataOnly="0" labelOnly="1" fieldPosition="0">
        <references count="5">
          <reference field="0" count="1" selected="0">
            <x v="8"/>
          </reference>
          <reference field="9" count="1" selected="0">
            <x v="20"/>
          </reference>
          <reference field="10" count="1" selected="0">
            <x v="27"/>
          </reference>
          <reference field="14" count="1">
            <x v="31"/>
          </reference>
          <reference field="20" count="1" selected="0">
            <x v="2"/>
          </reference>
        </references>
      </pivotArea>
    </format>
    <format dxfId="502">
      <pivotArea dataOnly="0" labelOnly="1" fieldPosition="0">
        <references count="5">
          <reference field="0" count="1" selected="0">
            <x v="30"/>
          </reference>
          <reference field="9" count="1" selected="0">
            <x v="20"/>
          </reference>
          <reference field="10" count="1" selected="0">
            <x v="27"/>
          </reference>
          <reference field="14" count="1">
            <x v="31"/>
          </reference>
          <reference field="20" count="1" selected="0">
            <x v="2"/>
          </reference>
        </references>
      </pivotArea>
    </format>
    <format dxfId="503">
      <pivotArea dataOnly="0" labelOnly="1" fieldPosition="0">
        <references count="5">
          <reference field="0" count="1" selected="0">
            <x v="29"/>
          </reference>
          <reference field="9" count="1" selected="0">
            <x v="21"/>
          </reference>
          <reference field="10" count="1" selected="0">
            <x v="37"/>
          </reference>
          <reference field="14" count="1">
            <x v="9"/>
          </reference>
          <reference field="20" count="1" selected="0">
            <x v="0"/>
          </reference>
        </references>
      </pivotArea>
    </format>
    <format dxfId="504">
      <pivotArea dataOnly="0" labelOnly="1" fieldPosition="0">
        <references count="5">
          <reference field="0" count="1" selected="0">
            <x v="9"/>
          </reference>
          <reference field="9" count="1" selected="0">
            <x v="21"/>
          </reference>
          <reference field="10" count="1" selected="0">
            <x v="42"/>
          </reference>
          <reference field="14" count="1">
            <x v="37"/>
          </reference>
          <reference field="20" count="1" selected="0">
            <x v="0"/>
          </reference>
        </references>
      </pivotArea>
    </format>
    <format dxfId="505">
      <pivotArea dataOnly="0" labelOnly="1" fieldPosition="0">
        <references count="5">
          <reference field="0" count="1" selected="0">
            <x v="44"/>
          </reference>
          <reference field="9" count="1" selected="0">
            <x v="21"/>
          </reference>
          <reference field="10" count="1" selected="0">
            <x v="37"/>
          </reference>
          <reference field="14" count="1">
            <x v="9"/>
          </reference>
          <reference field="20" count="1" selected="0">
            <x v="1"/>
          </reference>
        </references>
      </pivotArea>
    </format>
    <format dxfId="506">
      <pivotArea dataOnly="0" labelOnly="1" fieldPosition="0">
        <references count="5">
          <reference field="0" count="1" selected="0">
            <x v="41"/>
          </reference>
          <reference field="9" count="1" selected="0">
            <x v="21"/>
          </reference>
          <reference field="10" count="1" selected="0">
            <x v="42"/>
          </reference>
          <reference field="14" count="1">
            <x v="32"/>
          </reference>
          <reference field="20" count="1" selected="0">
            <x v="1"/>
          </reference>
        </references>
      </pivotArea>
    </format>
    <format dxfId="507">
      <pivotArea dataOnly="0" labelOnly="1" fieldPosition="0">
        <references count="5">
          <reference field="0" count="1" selected="0">
            <x v="44"/>
          </reference>
          <reference field="9" count="1" selected="0">
            <x v="21"/>
          </reference>
          <reference field="10" count="1" selected="0">
            <x v="42"/>
          </reference>
          <reference field="14" count="1">
            <x v="32"/>
          </reference>
          <reference field="20" count="1" selected="0">
            <x v="1"/>
          </reference>
        </references>
      </pivotArea>
    </format>
    <format dxfId="508">
      <pivotArea dataOnly="0" labelOnly="1" fieldPosition="0">
        <references count="5">
          <reference field="0" count="1" selected="0">
            <x v="8"/>
          </reference>
          <reference field="9" count="1" selected="0">
            <x v="21"/>
          </reference>
          <reference field="10" count="1" selected="0">
            <x v="42"/>
          </reference>
          <reference field="14" count="1">
            <x v="37"/>
          </reference>
          <reference field="20" count="1" selected="0">
            <x v="2"/>
          </reference>
        </references>
      </pivotArea>
    </format>
    <format dxfId="509">
      <pivotArea dataOnly="0" labelOnly="1" fieldPosition="0">
        <references count="5">
          <reference field="0" count="1" selected="0">
            <x v="12"/>
          </reference>
          <reference field="9" count="1" selected="0">
            <x v="21"/>
          </reference>
          <reference field="10" count="1" selected="0">
            <x v="42"/>
          </reference>
          <reference field="14" count="1">
            <x v="37"/>
          </reference>
          <reference field="20" count="1" selected="0">
            <x v="2"/>
          </reference>
        </references>
      </pivotArea>
    </format>
    <format dxfId="510">
      <pivotArea dataOnly="0" labelOnly="1" fieldPosition="0">
        <references count="5">
          <reference field="0" count="1" selected="0">
            <x v="13"/>
          </reference>
          <reference field="9" count="1" selected="0">
            <x v="21"/>
          </reference>
          <reference field="10" count="1" selected="0">
            <x v="42"/>
          </reference>
          <reference field="14" count="1">
            <x v="37"/>
          </reference>
          <reference field="20" count="1" selected="0">
            <x v="2"/>
          </reference>
        </references>
      </pivotArea>
    </format>
    <format dxfId="511">
      <pivotArea dataOnly="0" labelOnly="1" fieldPosition="0">
        <references count="5">
          <reference field="0" count="1" selected="0">
            <x v="14"/>
          </reference>
          <reference field="9" count="1" selected="0">
            <x v="22"/>
          </reference>
          <reference field="10" count="1" selected="0">
            <x v="36"/>
          </reference>
          <reference field="14" count="1">
            <x v="28"/>
          </reference>
          <reference field="20" count="1" selected="0">
            <x v="0"/>
          </reference>
        </references>
      </pivotArea>
    </format>
    <format dxfId="512">
      <pivotArea dataOnly="0" labelOnly="1" fieldPosition="0">
        <references count="5">
          <reference field="0" count="1" selected="0">
            <x v="15"/>
          </reference>
          <reference field="9" count="1" selected="0">
            <x v="22"/>
          </reference>
          <reference field="10" count="1" selected="0">
            <x v="36"/>
          </reference>
          <reference field="14" count="1">
            <x v="28"/>
          </reference>
          <reference field="20" count="1" selected="0">
            <x v="0"/>
          </reference>
        </references>
      </pivotArea>
    </format>
    <format dxfId="513">
      <pivotArea dataOnly="0" labelOnly="1" fieldPosition="0">
        <references count="5">
          <reference field="0" count="1" selected="0">
            <x v="17"/>
          </reference>
          <reference field="9" count="1" selected="0">
            <x v="22"/>
          </reference>
          <reference field="10" count="1" selected="0">
            <x v="36"/>
          </reference>
          <reference field="14" count="1">
            <x v="28"/>
          </reference>
          <reference field="20" count="1" selected="0">
            <x v="0"/>
          </reference>
        </references>
      </pivotArea>
    </format>
    <format dxfId="514">
      <pivotArea dataOnly="0" labelOnly="1" fieldPosition="0">
        <references count="5">
          <reference field="0" count="1" selected="0">
            <x v="32"/>
          </reference>
          <reference field="9" count="1" selected="0">
            <x v="22"/>
          </reference>
          <reference field="10" count="1" selected="0">
            <x v="36"/>
          </reference>
          <reference field="14" count="1">
            <x v="28"/>
          </reference>
          <reference field="20" count="1" selected="0">
            <x v="0"/>
          </reference>
        </references>
      </pivotArea>
    </format>
    <format dxfId="515">
      <pivotArea dataOnly="0" labelOnly="1" fieldPosition="0">
        <references count="5">
          <reference field="0" count="1" selected="0">
            <x v="34"/>
          </reference>
          <reference field="9" count="1" selected="0">
            <x v="22"/>
          </reference>
          <reference field="10" count="1" selected="0">
            <x v="36"/>
          </reference>
          <reference field="14" count="1">
            <x v="14"/>
          </reference>
          <reference field="20" count="1" selected="0">
            <x v="1"/>
          </reference>
        </references>
      </pivotArea>
    </format>
    <format dxfId="516">
      <pivotArea dataOnly="0" labelOnly="1" fieldPosition="0">
        <references count="5">
          <reference field="0" count="1" selected="0">
            <x v="36"/>
          </reference>
          <reference field="9" count="1" selected="0">
            <x v="22"/>
          </reference>
          <reference field="10" count="1" selected="0">
            <x v="36"/>
          </reference>
          <reference field="14" count="1">
            <x v="14"/>
          </reference>
          <reference field="20" count="1" selected="0">
            <x v="1"/>
          </reference>
        </references>
      </pivotArea>
    </format>
    <format dxfId="517">
      <pivotArea dataOnly="0" labelOnly="1" fieldPosition="0">
        <references count="5">
          <reference field="0" count="1" selected="0">
            <x v="37"/>
          </reference>
          <reference field="9" count="1" selected="0">
            <x v="22"/>
          </reference>
          <reference field="10" count="1" selected="0">
            <x v="36"/>
          </reference>
          <reference field="14" count="1">
            <x v="14"/>
          </reference>
          <reference field="20" count="1" selected="0">
            <x v="1"/>
          </reference>
        </references>
      </pivotArea>
    </format>
    <format dxfId="518">
      <pivotArea dataOnly="0" labelOnly="1" fieldPosition="0">
        <references count="5">
          <reference field="0" count="1" selected="0">
            <x v="38"/>
          </reference>
          <reference field="9" count="1" selected="0">
            <x v="22"/>
          </reference>
          <reference field="10" count="1" selected="0">
            <x v="36"/>
          </reference>
          <reference field="14" count="1">
            <x v="28"/>
          </reference>
          <reference field="20" count="1" selected="0">
            <x v="1"/>
          </reference>
        </references>
      </pivotArea>
    </format>
    <format dxfId="519">
      <pivotArea dataOnly="0" labelOnly="1" fieldPosition="0">
        <references count="5">
          <reference field="0" count="1" selected="0">
            <x v="48"/>
          </reference>
          <reference field="9" count="1" selected="0">
            <x v="22"/>
          </reference>
          <reference field="10" count="1" selected="0">
            <x v="36"/>
          </reference>
          <reference field="14" count="1">
            <x v="11"/>
          </reference>
          <reference field="20" count="1" selected="0">
            <x v="1"/>
          </reference>
        </references>
      </pivotArea>
    </format>
    <format dxfId="520">
      <pivotArea dataOnly="0" labelOnly="1" fieldPosition="0">
        <references count="5">
          <reference field="0" count="1" selected="0">
            <x v="5"/>
          </reference>
          <reference field="9" count="1" selected="0">
            <x v="23"/>
          </reference>
          <reference field="10" count="1" selected="0">
            <x v="13"/>
          </reference>
          <reference field="14" count="1">
            <x v="15"/>
          </reference>
          <reference field="20" count="1" selected="0">
            <x v="0"/>
          </reference>
        </references>
      </pivotArea>
    </format>
    <format dxfId="521">
      <pivotArea dataOnly="0" labelOnly="1" fieldPosition="0">
        <references count="5">
          <reference field="0" count="1" selected="0">
            <x v="11"/>
          </reference>
          <reference field="9" count="1" selected="0">
            <x v="23"/>
          </reference>
          <reference field="10" count="1" selected="0">
            <x v="13"/>
          </reference>
          <reference field="14" count="1">
            <x v="15"/>
          </reference>
          <reference field="20" count="1" selected="0">
            <x v="0"/>
          </reference>
        </references>
      </pivotArea>
    </format>
    <format dxfId="522">
      <pivotArea dataOnly="0" labelOnly="1" fieldPosition="0">
        <references count="5">
          <reference field="0" count="1" selected="0">
            <x v="14"/>
          </reference>
          <reference field="9" count="1" selected="0">
            <x v="23"/>
          </reference>
          <reference field="10" count="1" selected="0">
            <x v="13"/>
          </reference>
          <reference field="14" count="1">
            <x v="15"/>
          </reference>
          <reference field="20" count="1" selected="0">
            <x v="0"/>
          </reference>
        </references>
      </pivotArea>
    </format>
    <format dxfId="523">
      <pivotArea dataOnly="0" labelOnly="1" fieldPosition="0">
        <references count="5">
          <reference field="0" count="1" selected="0">
            <x v="15"/>
          </reference>
          <reference field="9" count="1" selected="0">
            <x v="23"/>
          </reference>
          <reference field="10" count="1" selected="0">
            <x v="13"/>
          </reference>
          <reference field="14" count="1">
            <x v="15"/>
          </reference>
          <reference field="20" count="1" selected="0">
            <x v="0"/>
          </reference>
        </references>
      </pivotArea>
    </format>
    <format dxfId="524">
      <pivotArea dataOnly="0" labelOnly="1" fieldPosition="0">
        <references count="5">
          <reference field="0" count="1" selected="0">
            <x v="16"/>
          </reference>
          <reference field="9" count="1" selected="0">
            <x v="23"/>
          </reference>
          <reference field="10" count="1" selected="0">
            <x v="13"/>
          </reference>
          <reference field="14" count="1">
            <x v="15"/>
          </reference>
          <reference field="20" count="1" selected="0">
            <x v="0"/>
          </reference>
        </references>
      </pivotArea>
    </format>
    <format dxfId="525">
      <pivotArea dataOnly="0" labelOnly="1" fieldPosition="0">
        <references count="5">
          <reference field="0" count="1" selected="0">
            <x v="17"/>
          </reference>
          <reference field="9" count="1" selected="0">
            <x v="23"/>
          </reference>
          <reference field="10" count="1" selected="0">
            <x v="13"/>
          </reference>
          <reference field="14" count="1">
            <x v="15"/>
          </reference>
          <reference field="20" count="1" selected="0">
            <x v="0"/>
          </reference>
        </references>
      </pivotArea>
    </format>
    <format dxfId="526">
      <pivotArea dataOnly="0" labelOnly="1" fieldPosition="0">
        <references count="5">
          <reference field="0" count="1" selected="0">
            <x v="18"/>
          </reference>
          <reference field="9" count="1" selected="0">
            <x v="23"/>
          </reference>
          <reference field="10" count="1" selected="0">
            <x v="13"/>
          </reference>
          <reference field="14" count="1">
            <x v="15"/>
          </reference>
          <reference field="20" count="1" selected="0">
            <x v="0"/>
          </reference>
        </references>
      </pivotArea>
    </format>
    <format dxfId="527">
      <pivotArea dataOnly="0" labelOnly="1" fieldPosition="0">
        <references count="5">
          <reference field="0" count="1" selected="0">
            <x v="19"/>
          </reference>
          <reference field="9" count="1" selected="0">
            <x v="23"/>
          </reference>
          <reference field="10" count="1" selected="0">
            <x v="13"/>
          </reference>
          <reference field="14" count="1">
            <x v="15"/>
          </reference>
          <reference field="20" count="1" selected="0">
            <x v="0"/>
          </reference>
        </references>
      </pivotArea>
    </format>
    <format dxfId="528">
      <pivotArea dataOnly="0" labelOnly="1" fieldPosition="0">
        <references count="5">
          <reference field="0" count="1" selected="0">
            <x v="20"/>
          </reference>
          <reference field="9" count="1" selected="0">
            <x v="23"/>
          </reference>
          <reference field="10" count="1" selected="0">
            <x v="13"/>
          </reference>
          <reference field="14" count="1">
            <x v="15"/>
          </reference>
          <reference field="20" count="1" selected="0">
            <x v="0"/>
          </reference>
        </references>
      </pivotArea>
    </format>
    <format dxfId="529">
      <pivotArea dataOnly="0" labelOnly="1" fieldPosition="0">
        <references count="5">
          <reference field="0" count="1" selected="0">
            <x v="22"/>
          </reference>
          <reference field="9" count="1" selected="0">
            <x v="23"/>
          </reference>
          <reference field="10" count="1" selected="0">
            <x v="13"/>
          </reference>
          <reference field="14" count="1">
            <x v="15"/>
          </reference>
          <reference field="20" count="1" selected="0">
            <x v="0"/>
          </reference>
        </references>
      </pivotArea>
    </format>
    <format dxfId="530">
      <pivotArea dataOnly="0" labelOnly="1" fieldPosition="0">
        <references count="5">
          <reference field="0" count="1" selected="0">
            <x v="28"/>
          </reference>
          <reference field="9" count="1" selected="0">
            <x v="23"/>
          </reference>
          <reference field="10" count="1" selected="0">
            <x v="13"/>
          </reference>
          <reference field="14" count="1">
            <x v="15"/>
          </reference>
          <reference field="20" count="1" selected="0">
            <x v="0"/>
          </reference>
        </references>
      </pivotArea>
    </format>
    <format dxfId="531">
      <pivotArea dataOnly="0" labelOnly="1" fieldPosition="0">
        <references count="5">
          <reference field="0" count="1" selected="0">
            <x v="32"/>
          </reference>
          <reference field="9" count="1" selected="0">
            <x v="23"/>
          </reference>
          <reference field="10" count="1" selected="0">
            <x v="13"/>
          </reference>
          <reference field="14" count="1">
            <x v="15"/>
          </reference>
          <reference field="20" count="1" selected="0">
            <x v="0"/>
          </reference>
        </references>
      </pivotArea>
    </format>
    <format dxfId="532">
      <pivotArea dataOnly="0" labelOnly="1" fieldPosition="0">
        <references count="5">
          <reference field="0" count="1" selected="0">
            <x v="0"/>
          </reference>
          <reference field="9" count="1" selected="0">
            <x v="24"/>
          </reference>
          <reference field="10" count="1" selected="0">
            <x v="44"/>
          </reference>
          <reference field="14" count="1">
            <x v="5"/>
          </reference>
          <reference field="20" count="1" selected="0">
            <x v="2"/>
          </reference>
        </references>
      </pivotArea>
    </format>
    <format dxfId="533">
      <pivotArea dataOnly="0" labelOnly="1" fieldPosition="0">
        <references count="5">
          <reference field="0" count="1" selected="0">
            <x v="14"/>
          </reference>
          <reference field="9" count="1" selected="0">
            <x v="25"/>
          </reference>
          <reference field="10" count="1" selected="0">
            <x v="41"/>
          </reference>
          <reference field="14" count="1">
            <x v="26"/>
          </reference>
          <reference field="20" count="1" selected="0">
            <x v="0"/>
          </reference>
        </references>
      </pivotArea>
    </format>
    <format dxfId="534">
      <pivotArea dataOnly="0" labelOnly="1" fieldPosition="0">
        <references count="5">
          <reference field="0" count="1" selected="0">
            <x v="15"/>
          </reference>
          <reference field="9" count="1" selected="0">
            <x v="25"/>
          </reference>
          <reference field="10" count="1" selected="0">
            <x v="41"/>
          </reference>
          <reference field="14" count="1">
            <x v="26"/>
          </reference>
          <reference field="20" count="1" selected="0">
            <x v="0"/>
          </reference>
        </references>
      </pivotArea>
    </format>
    <format dxfId="535">
      <pivotArea dataOnly="0" labelOnly="1" fieldPosition="0">
        <references count="5">
          <reference field="0" count="1" selected="0">
            <x v="22"/>
          </reference>
          <reference field="9" count="1" selected="0">
            <x v="25"/>
          </reference>
          <reference field="10" count="1" selected="0">
            <x v="41"/>
          </reference>
          <reference field="14" count="1">
            <x v="26"/>
          </reference>
          <reference field="20" count="1" selected="0">
            <x v="0"/>
          </reference>
        </references>
      </pivotArea>
    </format>
    <format dxfId="536">
      <pivotArea dataOnly="0" labelOnly="1" fieldPosition="0">
        <references count="5">
          <reference field="0" count="1" selected="0">
            <x v="32"/>
          </reference>
          <reference field="9" count="1" selected="0">
            <x v="25"/>
          </reference>
          <reference field="10" count="1" selected="0">
            <x v="41"/>
          </reference>
          <reference field="14" count="1">
            <x v="26"/>
          </reference>
          <reference field="20" count="1" selected="0">
            <x v="0"/>
          </reference>
        </references>
      </pivotArea>
    </format>
    <format dxfId="537">
      <pivotArea dataOnly="0" labelOnly="1" fieldPosition="0">
        <references count="5">
          <reference field="0" count="1" selected="0">
            <x v="48"/>
          </reference>
          <reference field="9" count="1" selected="0">
            <x v="25"/>
          </reference>
          <reference field="10" count="1" selected="0">
            <x v="17"/>
          </reference>
          <reference field="14" count="1">
            <x v="39"/>
          </reference>
          <reference field="20" count="1" selected="0">
            <x v="1"/>
          </reference>
        </references>
      </pivotArea>
    </format>
    <format dxfId="538">
      <pivotArea dataOnly="0" labelOnly="1" fieldPosition="0">
        <references count="5">
          <reference field="0" count="1" selected="0">
            <x v="48"/>
          </reference>
          <reference field="9" count="1" selected="0">
            <x v="25"/>
          </reference>
          <reference field="10" count="1" selected="0">
            <x v="24"/>
          </reference>
          <reference field="14" count="1">
            <x v="38"/>
          </reference>
          <reference field="20" count="1" selected="0">
            <x v="1"/>
          </reference>
        </references>
      </pivotArea>
    </format>
    <format dxfId="539">
      <pivotArea dataOnly="0" labelOnly="1" fieldPosition="0">
        <references count="5">
          <reference field="0" count="1" selected="0">
            <x v="34"/>
          </reference>
          <reference field="9" count="1" selected="0">
            <x v="25"/>
          </reference>
          <reference field="10" count="1" selected="0">
            <x v="25"/>
          </reference>
          <reference field="14" count="1">
            <x v="2"/>
          </reference>
          <reference field="20" count="1" selected="0">
            <x v="1"/>
          </reference>
        </references>
      </pivotArea>
    </format>
    <format dxfId="540">
      <pivotArea dataOnly="0" labelOnly="1" fieldPosition="0">
        <references count="5">
          <reference field="0" count="1" selected="0">
            <x v="35"/>
          </reference>
          <reference field="9" count="1" selected="0">
            <x v="25"/>
          </reference>
          <reference field="10" count="1" selected="0">
            <x v="25"/>
          </reference>
          <reference field="14" count="1">
            <x v="2"/>
          </reference>
          <reference field="20" count="1" selected="0">
            <x v="1"/>
          </reference>
        </references>
      </pivotArea>
    </format>
    <format dxfId="541">
      <pivotArea dataOnly="0" labelOnly="1" fieldPosition="0">
        <references count="5">
          <reference field="0" count="1" selected="0">
            <x v="48"/>
          </reference>
          <reference field="9" count="1" selected="0">
            <x v="25"/>
          </reference>
          <reference field="10" count="1" selected="0">
            <x v="25"/>
          </reference>
          <reference field="14" count="1">
            <x v="2"/>
          </reference>
          <reference field="20" count="1" selected="0">
            <x v="1"/>
          </reference>
        </references>
      </pivotArea>
    </format>
    <format dxfId="542">
      <pivotArea dataOnly="0" labelOnly="1" fieldPosition="0">
        <references count="5">
          <reference field="0" count="1" selected="0">
            <x v="34"/>
          </reference>
          <reference field="9" count="1" selected="0">
            <x v="25"/>
          </reference>
          <reference field="10" count="1" selected="0">
            <x v="41"/>
          </reference>
          <reference field="14" count="1">
            <x v="18"/>
          </reference>
          <reference field="20" count="1" selected="0">
            <x v="1"/>
          </reference>
        </references>
      </pivotArea>
    </format>
    <format dxfId="543">
      <pivotArea dataOnly="0" labelOnly="1" fieldPosition="0">
        <references count="5">
          <reference field="0" count="1" selected="0">
            <x v="35"/>
          </reference>
          <reference field="9" count="1" selected="0">
            <x v="25"/>
          </reference>
          <reference field="10" count="1" selected="0">
            <x v="41"/>
          </reference>
          <reference field="14" count="1">
            <x v="18"/>
          </reference>
          <reference field="20" count="1" selected="0">
            <x v="1"/>
          </reference>
        </references>
      </pivotArea>
    </format>
    <format dxfId="544">
      <pivotArea dataOnly="0" labelOnly="1" fieldPosition="0">
        <references count="5">
          <reference field="0" count="1" selected="0">
            <x v="48"/>
          </reference>
          <reference field="9" count="1" selected="0">
            <x v="25"/>
          </reference>
          <reference field="10" count="1" selected="0">
            <x v="41"/>
          </reference>
          <reference field="14" count="1">
            <x v="18"/>
          </reference>
          <reference field="20" count="1" selected="0">
            <x v="1"/>
          </reference>
        </references>
      </pivotArea>
    </format>
    <format dxfId="545">
      <pivotArea dataOnly="0" labelOnly="1" fieldPosition="0">
        <references count="5">
          <reference field="0" count="1" selected="0">
            <x v="50"/>
          </reference>
          <reference field="9" count="1" selected="0">
            <x v="25"/>
          </reference>
          <reference field="10" count="1" selected="0">
            <x v="41"/>
          </reference>
          <reference field="14" count="1">
            <x v="18"/>
          </reference>
          <reference field="20" count="1" selected="0">
            <x v="1"/>
          </reference>
        </references>
      </pivotArea>
    </format>
    <format dxfId="546">
      <pivotArea dataOnly="0" labelOnly="1" fieldPosition="0">
        <references count="5">
          <reference field="0" count="1" selected="0">
            <x v="52"/>
          </reference>
          <reference field="9" count="1" selected="0">
            <x v="25"/>
          </reference>
          <reference field="10" count="1" selected="0">
            <x v="41"/>
          </reference>
          <reference field="14" count="1">
            <x v="18"/>
          </reference>
          <reference field="20" count="1" selected="0">
            <x v="1"/>
          </reference>
        </references>
      </pivotArea>
    </format>
    <format dxfId="547">
      <pivotArea dataOnly="0" labelOnly="1" fieldPosition="0">
        <references count="5">
          <reference field="0" count="1" selected="0">
            <x v="13"/>
          </reference>
          <reference field="9" count="1" selected="0">
            <x v="25"/>
          </reference>
          <reference field="10" count="1" selected="0">
            <x v="25"/>
          </reference>
          <reference field="14" count="1">
            <x v="3"/>
          </reference>
          <reference field="20" count="1" selected="0">
            <x v="2"/>
          </reference>
        </references>
      </pivotArea>
    </format>
    <format dxfId="548">
      <pivotArea dataOnly="0" labelOnly="1" fieldPosition="0">
        <references count="5">
          <reference field="0" count="1" selected="0">
            <x v="3"/>
          </reference>
          <reference field="9" count="1" selected="0">
            <x v="25"/>
          </reference>
          <reference field="10" count="1" selected="0">
            <x v="41"/>
          </reference>
          <reference field="14" count="1">
            <x v="26"/>
          </reference>
          <reference field="20" count="1" selected="0">
            <x v="2"/>
          </reference>
        </references>
      </pivotArea>
    </format>
    <format dxfId="549">
      <pivotArea dataOnly="0" labelOnly="1" fieldPosition="0">
        <references count="5">
          <reference field="0" count="1" selected="0">
            <x v="8"/>
          </reference>
          <reference field="9" count="1" selected="0">
            <x v="25"/>
          </reference>
          <reference field="10" count="1" selected="0">
            <x v="41"/>
          </reference>
          <reference field="14" count="1">
            <x v="26"/>
          </reference>
          <reference field="20" count="1" selected="0">
            <x v="2"/>
          </reference>
        </references>
      </pivotArea>
    </format>
    <format dxfId="550">
      <pivotArea dataOnly="0" labelOnly="1" fieldPosition="0">
        <references count="5">
          <reference field="0" count="1" selected="0">
            <x v="12"/>
          </reference>
          <reference field="9" count="1" selected="0">
            <x v="25"/>
          </reference>
          <reference field="10" count="1" selected="0">
            <x v="41"/>
          </reference>
          <reference field="14" count="1">
            <x v="26"/>
          </reference>
          <reference field="20" count="1" selected="0">
            <x v="2"/>
          </reference>
        </references>
      </pivotArea>
    </format>
    <format dxfId="551">
      <pivotArea dataOnly="0" labelOnly="1" fieldPosition="0">
        <references count="5">
          <reference field="0" count="1" selected="0">
            <x v="13"/>
          </reference>
          <reference field="9" count="1" selected="0">
            <x v="25"/>
          </reference>
          <reference field="10" count="1" selected="0">
            <x v="41"/>
          </reference>
          <reference field="14" count="1">
            <x v="26"/>
          </reference>
          <reference field="20" count="1" selected="0">
            <x v="2"/>
          </reference>
        </references>
      </pivotArea>
    </format>
    <format dxfId="552">
      <pivotArea dataOnly="0" labelOnly="1" fieldPosition="0">
        <references count="5">
          <reference field="0" count="1" selected="0">
            <x v="44"/>
          </reference>
          <reference field="9" count="1" selected="0">
            <x v="26"/>
          </reference>
          <reference field="10" count="1" selected="0">
            <x v="6"/>
          </reference>
          <reference field="14" count="1">
            <x v="19"/>
          </reference>
          <reference field="20" count="1" selected="0">
            <x v="1"/>
          </reference>
        </references>
      </pivotArea>
    </format>
    <format dxfId="55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20249E49-C122-4399-B853-1D6409DDFB4C}" autoFormatId="16" applyNumberFormats="0" applyBorderFormats="0" applyFontFormats="0" applyPatternFormats="0" applyAlignmentFormats="0" applyWidthHeightFormats="0">
  <queryTableRefresh nextId="25">
    <queryTableFields count="21">
      <queryTableField id="1" name="FunnelID" tableColumnId="1"/>
      <queryTableField id="2" name="Work Date" tableColumnId="2"/>
      <queryTableField id="3" name="Date TimeSheet" tableColumnId="3"/>
      <queryTableField id="4" name="CCID" tableColumnId="4"/>
      <queryTableField id="5" name="Year" tableColumnId="5"/>
      <queryTableField id="6" name="Month" tableColumnId="6"/>
      <queryTableField id="7" name="Day" tableColumnId="7"/>
      <queryTableField id="8" name="Week" tableColumnId="8"/>
      <queryTableField id="9" name="Time Actual" tableColumnId="9"/>
      <queryTableField id="10" name="Company" tableColumnId="10"/>
      <queryTableField id="11" name="Resource Name" tableColumnId="11"/>
      <queryTableField id="12" name="Role" tableColumnId="12"/>
      <queryTableField id="13" name="Comments" tableColumnId="13"/>
      <queryTableField id="14" name="CostRate" tableColumnId="14"/>
      <queryTableField id="22" dataBound="0" tableColumnId="22"/>
      <queryTableField id="21" dataBound="0" tableColumnId="21"/>
      <queryTableField id="15" name="BillingRate" tableColumnId="15"/>
      <queryTableField id="24" dataBound="0" tableColumnId="24"/>
      <queryTableField id="23" dataBound="0" tableColumnId="23"/>
      <queryTableField id="16" name="Customer Name" tableColumnId="16"/>
      <queryTableField id="17" name="Invoiced Date" tableColumnId="17"/>
    </queryTableFields>
    <queryTableDeletedFields count="1">
      <deletedField name="Invoice Numb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5C0F0D-C756-4733-ACFE-12AA25765FF1}" name="ApprovedTimeReport_001_202485" displayName="ApprovedTimeReport_001_202485" ref="A1:U44" tableType="queryTable" totalsRowCount="1">
  <autoFilter ref="A1:U43" xr:uid="{F75C0F0D-C756-4733-ACFE-12AA25765FF1}"/>
  <sortState xmlns:xlrd2="http://schemas.microsoft.com/office/spreadsheetml/2017/richdata2" ref="A2:U43">
    <sortCondition ref="T2:T43"/>
    <sortCondition ref="A2:A43"/>
  </sortState>
  <tableColumns count="21">
    <tableColumn id="1" xr3:uid="{2D57BDD3-ECD6-47D4-BE75-2CF9948EF66B}" uniqueName="1" name="FunnelID" queryTableFieldId="1" dataDxfId="573" totalsRowDxfId="572"/>
    <tableColumn id="2" xr3:uid="{BC661112-5DFF-4F88-8615-985BEF728E53}" uniqueName="2" name="Work Date" queryTableFieldId="2" dataDxfId="571" totalsRowDxfId="570"/>
    <tableColumn id="3" xr3:uid="{B937D67A-06A2-407A-8822-25E042BB2857}" uniqueName="3" name="Date TimeSheet" queryTableFieldId="3" dataDxfId="569" totalsRowDxfId="568"/>
    <tableColumn id="4" xr3:uid="{924DD956-52FE-4DF8-8CC2-3E43DC61F3FF}" uniqueName="4" name="CCID" queryTableFieldId="4" dataDxfId="567" totalsRowDxfId="566"/>
    <tableColumn id="5" xr3:uid="{31D5A81E-FC70-4AA3-9CF9-16984CBFB36D}" uniqueName="5" name="Year" queryTableFieldId="5"/>
    <tableColumn id="6" xr3:uid="{8891A936-624A-4B44-A9C4-9619B7BE613B}" uniqueName="6" name="Month" queryTableFieldId="6"/>
    <tableColumn id="7" xr3:uid="{40E8B0BE-2A8D-4A40-A311-88B3388A2E07}" uniqueName="7" name="Day" queryTableFieldId="7"/>
    <tableColumn id="8" xr3:uid="{B4A476F9-20C9-425F-9B15-75C9DB258B7E}" uniqueName="8" name="Week" queryTableFieldId="8"/>
    <tableColumn id="9" xr3:uid="{87B43CBB-8AEE-4038-BD50-6623DF702DDE}" uniqueName="9" name="Time Actual" queryTableFieldId="9" dataCellStyle="Vírgula"/>
    <tableColumn id="10" xr3:uid="{0A08A7D9-2D77-435C-8D96-0049E1DEE75C}" uniqueName="10" name="Company" queryTableFieldId="10" dataDxfId="565" totalsRowDxfId="564"/>
    <tableColumn id="11" xr3:uid="{DB8A513A-8022-4F8F-B03E-5981952DF560}" uniqueName="11" name="Resource Name" queryTableFieldId="11" dataDxfId="563" totalsRowDxfId="562"/>
    <tableColumn id="12" xr3:uid="{30F8C8AB-08B0-4F82-9294-F272E02883D9}" uniqueName="12" name="Role" queryTableFieldId="12" dataDxfId="561" totalsRowDxfId="560"/>
    <tableColumn id="13" xr3:uid="{AE7F0EF0-53F1-4A41-9722-599C82E3DD40}" uniqueName="13" name="Comments" queryTableFieldId="13" dataDxfId="559" totalsRowDxfId="558"/>
    <tableColumn id="14" xr3:uid="{31805D43-BB4A-4E8A-BE15-CBFC48BB89B1}" uniqueName="14" name="CostRate" queryTableFieldId="14" dataCellStyle="Vírgula"/>
    <tableColumn id="22" xr3:uid="{E9D6C0AD-9F5F-494A-911D-A766C0917CD9}" uniqueName="22" name="CostRate (w/ Taxes)" queryTableFieldId="22" dataCellStyle="Vírgula">
      <calculatedColumnFormula>ApprovedTimeReport_001_202485[[#This Row],[CostRate]]/0.9075</calculatedColumnFormula>
    </tableColumn>
    <tableColumn id="21" xr3:uid="{B6B86C90-3452-4C1F-A6F5-84902AE70FD5}" uniqueName="21" name="Total Cost" queryTableFieldId="21" dataCellStyle="Vírgula">
      <calculatedColumnFormula>ApprovedTimeReport_001_202485[[#This Row],[CostRate (w/ Taxes)]]*ApprovedTimeReport_001_202485[[#This Row],[Time Actual]]</calculatedColumnFormula>
    </tableColumn>
    <tableColumn id="15" xr3:uid="{FBA93F73-E742-4420-B2B4-44C2C814AA1B}" uniqueName="15" name="BillingRate" queryTableFieldId="15" dataCellStyle="Vírgula"/>
    <tableColumn id="24" xr3:uid="{DA5A172B-A176-4557-B0B6-3FCDCAC78AB4}" uniqueName="24" name="BillingRate w/ Taxes" queryTableFieldId="24" dataCellStyle="Vírgula">
      <calculatedColumnFormula>ApprovedTimeReport_001_202485[[#This Row],[BillingRate]]/0.8785</calculatedColumnFormula>
    </tableColumn>
    <tableColumn id="23" xr3:uid="{0F69ACC3-CF34-4C25-93FB-310AA7B912F8}" uniqueName="23" name="Total Revenue" queryTableFieldId="23" dataCellStyle="Vírgula">
      <calculatedColumnFormula>ApprovedTimeReport_001_202485[[#This Row],[BillingRate w/ Taxes]]*ApprovedTimeReport_001_202485[[#This Row],[Time Actual]]</calculatedColumnFormula>
    </tableColumn>
    <tableColumn id="16" xr3:uid="{041C5F87-1FF8-443E-B3C9-598A9339CD20}" uniqueName="16" name="Customer Name" queryTableFieldId="16" dataDxfId="557" totalsRowDxfId="556"/>
    <tableColumn id="17" xr3:uid="{78AAA56D-3E3D-4C13-9377-8760FB1ECE6E}" uniqueName="17" name="Project Type" queryTableFieldId="17" dataDxfId="555" totalsRowDxfId="55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9172-BF6D-454A-97C5-9E1D80929BAC}">
  <dimension ref="A3:H16"/>
  <sheetViews>
    <sheetView tabSelected="1" workbookViewId="0">
      <selection activeCell="G14" sqref="G14:H14"/>
    </sheetView>
  </sheetViews>
  <sheetFormatPr defaultRowHeight="15" x14ac:dyDescent="0.25"/>
  <cols>
    <col min="1" max="1" width="18.42578125" bestFit="1" customWidth="1"/>
    <col min="2" max="2" width="14.42578125" bestFit="1" customWidth="1"/>
    <col min="3" max="3" width="17.7109375" bestFit="1" customWidth="1"/>
    <col min="4" max="4" width="25.85546875" bestFit="1" customWidth="1"/>
    <col min="5" max="5" width="21.5703125" bestFit="1" customWidth="1"/>
    <col min="6" max="6" width="19.85546875" bestFit="1" customWidth="1"/>
    <col min="7" max="7" width="18.5703125" bestFit="1" customWidth="1"/>
  </cols>
  <sheetData>
    <row r="3" spans="1:8" x14ac:dyDescent="0.25">
      <c r="A3" s="4" t="s">
        <v>173</v>
      </c>
      <c r="B3" s="4" t="s">
        <v>132</v>
      </c>
      <c r="C3" s="4" t="s">
        <v>10</v>
      </c>
      <c r="D3" s="4" t="s">
        <v>0</v>
      </c>
      <c r="E3" s="4" t="s">
        <v>128</v>
      </c>
      <c r="F3" t="s">
        <v>175</v>
      </c>
      <c r="G3" t="s">
        <v>176</v>
      </c>
    </row>
    <row r="4" spans="1:8" x14ac:dyDescent="0.25">
      <c r="A4" s="5" t="s">
        <v>43</v>
      </c>
      <c r="B4" s="5" t="s">
        <v>134</v>
      </c>
      <c r="C4" s="5" t="s">
        <v>44</v>
      </c>
      <c r="D4" s="5" t="s">
        <v>31</v>
      </c>
      <c r="E4" s="9">
        <v>173.00275482093664</v>
      </c>
      <c r="F4" s="6">
        <v>3</v>
      </c>
      <c r="G4" s="14">
        <v>519.00826446280996</v>
      </c>
    </row>
    <row r="5" spans="1:8" x14ac:dyDescent="0.25">
      <c r="D5" s="5" t="s">
        <v>26</v>
      </c>
      <c r="E5" s="9">
        <v>173.00275482093664</v>
      </c>
      <c r="F5" s="6">
        <v>3</v>
      </c>
      <c r="G5" s="14">
        <v>519.00826446280996</v>
      </c>
    </row>
    <row r="6" spans="1:8" x14ac:dyDescent="0.25">
      <c r="D6" s="5" t="s">
        <v>57</v>
      </c>
      <c r="E6" s="9">
        <v>173.00275482093664</v>
      </c>
      <c r="F6" s="6">
        <v>1</v>
      </c>
      <c r="G6" s="14">
        <v>173.00275482093664</v>
      </c>
    </row>
    <row r="7" spans="1:8" x14ac:dyDescent="0.25">
      <c r="D7" s="5" t="s">
        <v>33</v>
      </c>
      <c r="E7" s="9">
        <v>173.00275482093664</v>
      </c>
      <c r="F7" s="6">
        <v>12</v>
      </c>
      <c r="G7" s="14">
        <v>2076.0330578512398</v>
      </c>
    </row>
    <row r="8" spans="1:8" x14ac:dyDescent="0.25">
      <c r="B8" s="13" t="s">
        <v>179</v>
      </c>
      <c r="C8" s="10"/>
      <c r="D8" s="10"/>
      <c r="E8" s="10"/>
      <c r="F8" s="7">
        <v>19</v>
      </c>
      <c r="G8" s="15">
        <v>3287.0523415977964</v>
      </c>
      <c r="H8" t="s">
        <v>180</v>
      </c>
    </row>
    <row r="9" spans="1:8" x14ac:dyDescent="0.25">
      <c r="B9" s="5" t="s">
        <v>139</v>
      </c>
      <c r="C9" s="5" t="s">
        <v>44</v>
      </c>
      <c r="D9" s="5" t="s">
        <v>38</v>
      </c>
      <c r="E9" s="9">
        <v>110</v>
      </c>
      <c r="F9" s="6">
        <v>123</v>
      </c>
      <c r="G9" s="14">
        <v>13530</v>
      </c>
    </row>
    <row r="10" spans="1:8" x14ac:dyDescent="0.25">
      <c r="D10" s="5" t="s">
        <v>30</v>
      </c>
      <c r="E10" s="9">
        <v>110</v>
      </c>
      <c r="F10" s="6">
        <v>20</v>
      </c>
      <c r="G10" s="14">
        <v>2200</v>
      </c>
    </row>
    <row r="11" spans="1:8" x14ac:dyDescent="0.25">
      <c r="D11" s="5" t="s">
        <v>66</v>
      </c>
      <c r="E11" s="9">
        <v>110</v>
      </c>
      <c r="F11" s="6">
        <v>6</v>
      </c>
      <c r="G11" s="14">
        <v>660</v>
      </c>
    </row>
    <row r="12" spans="1:8" x14ac:dyDescent="0.25">
      <c r="D12" s="5" t="s">
        <v>125</v>
      </c>
      <c r="E12" s="9">
        <v>173.00275482093664</v>
      </c>
      <c r="F12" s="6">
        <v>4</v>
      </c>
      <c r="G12" s="14">
        <v>692.01101928374658</v>
      </c>
    </row>
    <row r="13" spans="1:8" x14ac:dyDescent="0.25">
      <c r="D13" s="5" t="s">
        <v>40</v>
      </c>
      <c r="E13" s="9">
        <v>95.239669421487619</v>
      </c>
      <c r="F13" s="6">
        <v>4</v>
      </c>
      <c r="G13" s="14">
        <v>380.95867768595048</v>
      </c>
    </row>
    <row r="14" spans="1:8" x14ac:dyDescent="0.25">
      <c r="B14" s="13" t="s">
        <v>178</v>
      </c>
      <c r="C14" s="10"/>
      <c r="D14" s="10"/>
      <c r="E14" s="10"/>
      <c r="F14" s="7">
        <v>157</v>
      </c>
      <c r="G14" s="15">
        <v>17462.969696969696</v>
      </c>
      <c r="H14" t="s">
        <v>181</v>
      </c>
    </row>
    <row r="15" spans="1:8" x14ac:dyDescent="0.25">
      <c r="A15" s="12" t="s">
        <v>177</v>
      </c>
      <c r="B15" s="11"/>
      <c r="C15" s="11"/>
      <c r="D15" s="11"/>
      <c r="E15" s="11"/>
      <c r="F15" s="8">
        <v>176</v>
      </c>
      <c r="G15" s="16">
        <v>20750.022038567491</v>
      </c>
    </row>
    <row r="16" spans="1:8" x14ac:dyDescent="0.25">
      <c r="A16" s="5" t="s">
        <v>174</v>
      </c>
      <c r="F16" s="6">
        <v>176</v>
      </c>
      <c r="G16" s="14">
        <v>20750.022038567491</v>
      </c>
    </row>
  </sheetData>
  <pageMargins left="0.511811024" right="0.511811024" top="0.78740157499999996" bottom="0.78740157499999996" header="0.31496062000000002" footer="0.31496062000000002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51D1-16BE-4375-AA14-1F95A47F56F4}">
  <dimension ref="A1:U44"/>
  <sheetViews>
    <sheetView workbookViewId="0">
      <selection activeCell="A2" sqref="A2:XFD1469"/>
    </sheetView>
  </sheetViews>
  <sheetFormatPr defaultRowHeight="15" x14ac:dyDescent="0.25"/>
  <cols>
    <col min="1" max="1" width="22" bestFit="1" customWidth="1"/>
    <col min="2" max="2" width="11.7109375" customWidth="1"/>
    <col min="3" max="3" width="16.42578125" customWidth="1"/>
    <col min="4" max="4" width="7.42578125" customWidth="1"/>
    <col min="5" max="5" width="6.85546875" customWidth="1"/>
    <col min="6" max="6" width="8.28515625" customWidth="1"/>
    <col min="7" max="7" width="6.28515625" customWidth="1"/>
    <col min="8" max="8" width="7.85546875" customWidth="1"/>
    <col min="9" max="9" width="13" customWidth="1"/>
    <col min="10" max="10" width="25.7109375" customWidth="1"/>
    <col min="11" max="11" width="19.85546875" bestFit="1" customWidth="1"/>
    <col min="12" max="12" width="15.28515625" customWidth="1"/>
    <col min="13" max="13" width="80.85546875" customWidth="1"/>
    <col min="14" max="14" width="10.7109375" bestFit="1" customWidth="1"/>
    <col min="15" max="15" width="18.85546875" bestFit="1" customWidth="1"/>
    <col min="16" max="16" width="10" bestFit="1" customWidth="1"/>
    <col min="17" max="17" width="12.28515625" bestFit="1" customWidth="1"/>
    <col min="18" max="18" width="19.140625" bestFit="1" customWidth="1"/>
    <col min="19" max="19" width="14.140625" bestFit="1" customWidth="1"/>
    <col min="20" max="20" width="32.7109375" bestFit="1" customWidth="1"/>
    <col min="21" max="21" width="14.5703125" bestFit="1" customWidth="1"/>
  </cols>
  <sheetData>
    <row r="1" spans="1:21" ht="22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128</v>
      </c>
      <c r="P1" t="s">
        <v>129</v>
      </c>
      <c r="Q1" t="s">
        <v>14</v>
      </c>
      <c r="R1" t="s">
        <v>130</v>
      </c>
      <c r="S1" t="s">
        <v>131</v>
      </c>
      <c r="T1" t="s">
        <v>15</v>
      </c>
      <c r="U1" t="s">
        <v>132</v>
      </c>
    </row>
    <row r="2" spans="1:21" x14ac:dyDescent="0.25">
      <c r="A2" t="s">
        <v>26</v>
      </c>
      <c r="B2" s="1">
        <v>45525</v>
      </c>
      <c r="C2" s="1">
        <v>45538</v>
      </c>
      <c r="D2" t="s">
        <v>17</v>
      </c>
      <c r="E2">
        <v>2024</v>
      </c>
      <c r="F2">
        <v>8</v>
      </c>
      <c r="G2">
        <v>21</v>
      </c>
      <c r="H2">
        <v>34</v>
      </c>
      <c r="I2" s="3">
        <v>1</v>
      </c>
      <c r="J2" t="s">
        <v>43</v>
      </c>
      <c r="K2" t="s">
        <v>44</v>
      </c>
      <c r="L2" t="s">
        <v>18</v>
      </c>
      <c r="M2" t="s">
        <v>88</v>
      </c>
      <c r="N2" s="3">
        <v>157</v>
      </c>
      <c r="O2" s="3">
        <f>ApprovedTimeReport_001_202485[[#This Row],[CostRate]]/0.9075</f>
        <v>173.00275482093664</v>
      </c>
      <c r="P2" s="3">
        <f>ApprovedTimeReport_001_202485[[#This Row],[CostRate (w/ Taxes)]]*ApprovedTimeReport_001_202485[[#This Row],[Time Actual]]</f>
        <v>173.00275482093664</v>
      </c>
      <c r="Q2" s="3">
        <v>210.66</v>
      </c>
      <c r="R2" s="3">
        <f>ApprovedTimeReport_001_202485[[#This Row],[BillingRate]]/0.8785</f>
        <v>239.79510529311327</v>
      </c>
      <c r="S2" s="3">
        <f>ApprovedTimeReport_001_202485[[#This Row],[BillingRate w/ Taxes]]*ApprovedTimeReport_001_202485[[#This Row],[Time Actual]]</f>
        <v>239.79510529311327</v>
      </c>
      <c r="T2" t="s">
        <v>27</v>
      </c>
      <c r="U2" s="2" t="str">
        <f>VLOOKUP(A:A,Vlookup!A:B,2,0)</f>
        <v>FF</v>
      </c>
    </row>
    <row r="3" spans="1:21" x14ac:dyDescent="0.25">
      <c r="A3" t="s">
        <v>26</v>
      </c>
      <c r="B3" s="1">
        <v>45520</v>
      </c>
      <c r="C3" s="1">
        <v>45538</v>
      </c>
      <c r="D3" t="s">
        <v>17</v>
      </c>
      <c r="E3">
        <v>2024</v>
      </c>
      <c r="F3">
        <v>8</v>
      </c>
      <c r="G3">
        <v>16</v>
      </c>
      <c r="H3">
        <v>33</v>
      </c>
      <c r="I3" s="3">
        <v>2</v>
      </c>
      <c r="J3" t="s">
        <v>43</v>
      </c>
      <c r="K3" t="s">
        <v>44</v>
      </c>
      <c r="L3" t="s">
        <v>18</v>
      </c>
      <c r="M3" t="s">
        <v>97</v>
      </c>
      <c r="N3" s="3">
        <v>157</v>
      </c>
      <c r="O3" s="3">
        <f>ApprovedTimeReport_001_202485[[#This Row],[CostRate]]/0.9075</f>
        <v>173.00275482093664</v>
      </c>
      <c r="P3" s="3">
        <f>ApprovedTimeReport_001_202485[[#This Row],[CostRate (w/ Taxes)]]*ApprovedTimeReport_001_202485[[#This Row],[Time Actual]]</f>
        <v>346.00550964187329</v>
      </c>
      <c r="Q3" s="3">
        <v>210.66</v>
      </c>
      <c r="R3" s="3">
        <f>ApprovedTimeReport_001_202485[[#This Row],[BillingRate]]/0.8785</f>
        <v>239.79510529311327</v>
      </c>
      <c r="S3" s="3">
        <f>ApprovedTimeReport_001_202485[[#This Row],[BillingRate w/ Taxes]]*ApprovedTimeReport_001_202485[[#This Row],[Time Actual]]</f>
        <v>479.59021058622653</v>
      </c>
      <c r="T3" t="s">
        <v>27</v>
      </c>
      <c r="U3" s="2" t="str">
        <f>VLOOKUP(A:A,Vlookup!A:B,2,0)</f>
        <v>FF</v>
      </c>
    </row>
    <row r="4" spans="1:21" x14ac:dyDescent="0.25">
      <c r="A4" t="s">
        <v>33</v>
      </c>
      <c r="B4" s="1">
        <v>45518</v>
      </c>
      <c r="C4" s="1">
        <v>45538</v>
      </c>
      <c r="D4" t="s">
        <v>34</v>
      </c>
      <c r="E4">
        <v>2024</v>
      </c>
      <c r="F4">
        <v>8</v>
      </c>
      <c r="G4">
        <v>14</v>
      </c>
      <c r="H4">
        <v>33</v>
      </c>
      <c r="I4" s="3">
        <v>2</v>
      </c>
      <c r="J4" t="s">
        <v>43</v>
      </c>
      <c r="K4" t="s">
        <v>44</v>
      </c>
      <c r="L4" t="s">
        <v>18</v>
      </c>
      <c r="M4" t="s">
        <v>103</v>
      </c>
      <c r="N4" s="3">
        <v>157</v>
      </c>
      <c r="O4" s="3">
        <f>ApprovedTimeReport_001_202485[[#This Row],[CostRate]]/0.9075</f>
        <v>173.00275482093664</v>
      </c>
      <c r="P4" s="3">
        <f>ApprovedTimeReport_001_202485[[#This Row],[CostRate (w/ Taxes)]]*ApprovedTimeReport_001_202485[[#This Row],[Time Actual]]</f>
        <v>346.00550964187329</v>
      </c>
      <c r="Q4" s="3">
        <v>199</v>
      </c>
      <c r="R4" s="3">
        <f>ApprovedTimeReport_001_202485[[#This Row],[BillingRate]]/0.8785</f>
        <v>226.52248150256119</v>
      </c>
      <c r="S4" s="3">
        <f>ApprovedTimeReport_001_202485[[#This Row],[BillingRate w/ Taxes]]*ApprovedTimeReport_001_202485[[#This Row],[Time Actual]]</f>
        <v>453.04496300512238</v>
      </c>
      <c r="T4" t="s">
        <v>35</v>
      </c>
      <c r="U4" s="2" t="str">
        <f>VLOOKUP(A:A,Vlookup!A:B,2,0)</f>
        <v>FF</v>
      </c>
    </row>
    <row r="5" spans="1:21" x14ac:dyDescent="0.25">
      <c r="A5" t="s">
        <v>33</v>
      </c>
      <c r="B5" s="1">
        <v>45516</v>
      </c>
      <c r="C5" s="1">
        <v>45538</v>
      </c>
      <c r="D5" t="s">
        <v>34</v>
      </c>
      <c r="E5">
        <v>2024</v>
      </c>
      <c r="F5">
        <v>8</v>
      </c>
      <c r="G5">
        <v>12</v>
      </c>
      <c r="H5">
        <v>33</v>
      </c>
      <c r="I5" s="3">
        <v>8</v>
      </c>
      <c r="J5" t="s">
        <v>43</v>
      </c>
      <c r="K5" t="s">
        <v>44</v>
      </c>
      <c r="L5" t="s">
        <v>18</v>
      </c>
      <c r="M5" t="s">
        <v>109</v>
      </c>
      <c r="N5" s="3">
        <v>157</v>
      </c>
      <c r="O5" s="3">
        <f>ApprovedTimeReport_001_202485[[#This Row],[CostRate]]/0.9075</f>
        <v>173.00275482093664</v>
      </c>
      <c r="P5" s="3">
        <f>ApprovedTimeReport_001_202485[[#This Row],[CostRate (w/ Taxes)]]*ApprovedTimeReport_001_202485[[#This Row],[Time Actual]]</f>
        <v>1384.0220385674932</v>
      </c>
      <c r="Q5" s="3">
        <v>199</v>
      </c>
      <c r="R5" s="3">
        <f>ApprovedTimeReport_001_202485[[#This Row],[BillingRate]]/0.8785</f>
        <v>226.52248150256119</v>
      </c>
      <c r="S5" s="3">
        <f>ApprovedTimeReport_001_202485[[#This Row],[BillingRate w/ Taxes]]*ApprovedTimeReport_001_202485[[#This Row],[Time Actual]]</f>
        <v>1812.1798520204895</v>
      </c>
      <c r="T5" t="s">
        <v>35</v>
      </c>
      <c r="U5" s="2" t="str">
        <f>VLOOKUP(A:A,Vlookup!A:B,2,0)</f>
        <v>FF</v>
      </c>
    </row>
    <row r="6" spans="1:21" x14ac:dyDescent="0.25">
      <c r="A6" t="s">
        <v>33</v>
      </c>
      <c r="B6" s="1">
        <v>45511</v>
      </c>
      <c r="C6" s="1">
        <v>45538</v>
      </c>
      <c r="D6" t="s">
        <v>34</v>
      </c>
      <c r="E6">
        <v>2024</v>
      </c>
      <c r="F6">
        <v>8</v>
      </c>
      <c r="G6">
        <v>7</v>
      </c>
      <c r="H6">
        <v>32</v>
      </c>
      <c r="I6" s="3">
        <v>2</v>
      </c>
      <c r="J6" t="s">
        <v>43</v>
      </c>
      <c r="K6" t="s">
        <v>44</v>
      </c>
      <c r="L6" t="s">
        <v>18</v>
      </c>
      <c r="M6" t="s">
        <v>116</v>
      </c>
      <c r="N6" s="3">
        <v>157</v>
      </c>
      <c r="O6" s="3">
        <f>ApprovedTimeReport_001_202485[[#This Row],[CostRate]]/0.9075</f>
        <v>173.00275482093664</v>
      </c>
      <c r="P6" s="3">
        <f>ApprovedTimeReport_001_202485[[#This Row],[CostRate (w/ Taxes)]]*ApprovedTimeReport_001_202485[[#This Row],[Time Actual]]</f>
        <v>346.00550964187329</v>
      </c>
      <c r="Q6" s="3">
        <v>199</v>
      </c>
      <c r="R6" s="3">
        <f>ApprovedTimeReport_001_202485[[#This Row],[BillingRate]]/0.8785</f>
        <v>226.52248150256119</v>
      </c>
      <c r="S6" s="3">
        <f>ApprovedTimeReport_001_202485[[#This Row],[BillingRate w/ Taxes]]*ApprovedTimeReport_001_202485[[#This Row],[Time Actual]]</f>
        <v>453.04496300512238</v>
      </c>
      <c r="T6" t="s">
        <v>35</v>
      </c>
      <c r="U6" s="2" t="str">
        <f>VLOOKUP(A:A,Vlookup!A:B,2,0)</f>
        <v>FF</v>
      </c>
    </row>
    <row r="7" spans="1:21" x14ac:dyDescent="0.25">
      <c r="A7" t="s">
        <v>57</v>
      </c>
      <c r="B7" s="1">
        <v>45524</v>
      </c>
      <c r="C7" s="1">
        <v>45538</v>
      </c>
      <c r="D7" t="s">
        <v>17</v>
      </c>
      <c r="E7">
        <v>2024</v>
      </c>
      <c r="F7">
        <v>8</v>
      </c>
      <c r="G7">
        <v>20</v>
      </c>
      <c r="H7">
        <v>34</v>
      </c>
      <c r="I7" s="3">
        <v>1</v>
      </c>
      <c r="J7" t="s">
        <v>43</v>
      </c>
      <c r="K7" t="s">
        <v>44</v>
      </c>
      <c r="L7" t="s">
        <v>28</v>
      </c>
      <c r="M7" t="s">
        <v>91</v>
      </c>
      <c r="N7" s="3">
        <v>157</v>
      </c>
      <c r="O7" s="3">
        <f>ApprovedTimeReport_001_202485[[#This Row],[CostRate]]/0.9075</f>
        <v>173.00275482093664</v>
      </c>
      <c r="P7" s="3">
        <f>ApprovedTimeReport_001_202485[[#This Row],[CostRate (w/ Taxes)]]*ApprovedTimeReport_001_202485[[#This Row],[Time Actual]]</f>
        <v>173.00275482093664</v>
      </c>
      <c r="Q7" s="3">
        <v>168.38</v>
      </c>
      <c r="R7" s="3">
        <f>ApprovedTimeReport_001_202485[[#This Row],[BillingRate]]/0.8785</f>
        <v>191.66761525327263</v>
      </c>
      <c r="S7" s="3">
        <f>ApprovedTimeReport_001_202485[[#This Row],[BillingRate w/ Taxes]]*ApprovedTimeReport_001_202485[[#This Row],[Time Actual]]</f>
        <v>191.66761525327263</v>
      </c>
      <c r="T7" t="s">
        <v>58</v>
      </c>
      <c r="U7" s="2" t="str">
        <f>VLOOKUP(A:A,Vlookup!A:B,2,0)</f>
        <v>FF</v>
      </c>
    </row>
    <row r="8" spans="1:21" x14ac:dyDescent="0.25">
      <c r="A8" t="s">
        <v>31</v>
      </c>
      <c r="B8" s="1">
        <v>45524</v>
      </c>
      <c r="C8" s="1">
        <v>45538</v>
      </c>
      <c r="D8" t="s">
        <v>17</v>
      </c>
      <c r="E8">
        <v>2024</v>
      </c>
      <c r="F8">
        <v>8</v>
      </c>
      <c r="G8">
        <v>20</v>
      </c>
      <c r="H8">
        <v>34</v>
      </c>
      <c r="I8" s="3">
        <v>1</v>
      </c>
      <c r="J8" t="s">
        <v>43</v>
      </c>
      <c r="K8" t="s">
        <v>44</v>
      </c>
      <c r="L8" t="s">
        <v>28</v>
      </c>
      <c r="M8" t="s">
        <v>93</v>
      </c>
      <c r="N8" s="3">
        <v>157</v>
      </c>
      <c r="O8" s="3">
        <f>ApprovedTimeReport_001_202485[[#This Row],[CostRate]]/0.9075</f>
        <v>173.00275482093664</v>
      </c>
      <c r="P8" s="3">
        <f>ApprovedTimeReport_001_202485[[#This Row],[CostRate (w/ Taxes)]]*ApprovedTimeReport_001_202485[[#This Row],[Time Actual]]</f>
        <v>173.00275482093664</v>
      </c>
      <c r="Q8" s="3">
        <v>195</v>
      </c>
      <c r="R8" s="3">
        <f>ApprovedTimeReport_001_202485[[#This Row],[BillingRate]]/0.8785</f>
        <v>221.969265793967</v>
      </c>
      <c r="S8" s="3">
        <f>ApprovedTimeReport_001_202485[[#This Row],[BillingRate w/ Taxes]]*ApprovedTimeReport_001_202485[[#This Row],[Time Actual]]</f>
        <v>221.969265793967</v>
      </c>
      <c r="T8" t="s">
        <v>32</v>
      </c>
      <c r="U8" s="2" t="str">
        <f>VLOOKUP(A:A,Vlookup!A:B,2,0)</f>
        <v>FF</v>
      </c>
    </row>
    <row r="9" spans="1:21" x14ac:dyDescent="0.25">
      <c r="A9" t="s">
        <v>31</v>
      </c>
      <c r="B9" s="1">
        <v>45518</v>
      </c>
      <c r="C9" s="1">
        <v>45538</v>
      </c>
      <c r="D9" t="s">
        <v>17</v>
      </c>
      <c r="E9">
        <v>2024</v>
      </c>
      <c r="F9">
        <v>8</v>
      </c>
      <c r="G9">
        <v>14</v>
      </c>
      <c r="H9">
        <v>33</v>
      </c>
      <c r="I9" s="3">
        <v>2</v>
      </c>
      <c r="J9" t="s">
        <v>43</v>
      </c>
      <c r="K9" t="s">
        <v>44</v>
      </c>
      <c r="L9" t="s">
        <v>28</v>
      </c>
      <c r="M9" t="s">
        <v>102</v>
      </c>
      <c r="N9" s="3">
        <v>157</v>
      </c>
      <c r="O9" s="3">
        <f>ApprovedTimeReport_001_202485[[#This Row],[CostRate]]/0.9075</f>
        <v>173.00275482093664</v>
      </c>
      <c r="P9" s="3">
        <f>ApprovedTimeReport_001_202485[[#This Row],[CostRate (w/ Taxes)]]*ApprovedTimeReport_001_202485[[#This Row],[Time Actual]]</f>
        <v>346.00550964187329</v>
      </c>
      <c r="Q9" s="3">
        <v>195</v>
      </c>
      <c r="R9" s="3">
        <f>ApprovedTimeReport_001_202485[[#This Row],[BillingRate]]/0.8785</f>
        <v>221.969265793967</v>
      </c>
      <c r="S9" s="3">
        <f>ApprovedTimeReport_001_202485[[#This Row],[BillingRate w/ Taxes]]*ApprovedTimeReport_001_202485[[#This Row],[Time Actual]]</f>
        <v>443.93853158793399</v>
      </c>
      <c r="T9" t="s">
        <v>32</v>
      </c>
      <c r="U9" s="2" t="str">
        <f>VLOOKUP(A:A,Vlookup!A:B,2,0)</f>
        <v>FF</v>
      </c>
    </row>
    <row r="10" spans="1:21" x14ac:dyDescent="0.25">
      <c r="A10" t="s">
        <v>38</v>
      </c>
      <c r="B10" s="1">
        <v>45534</v>
      </c>
      <c r="C10" s="1">
        <v>45538</v>
      </c>
      <c r="D10" t="s">
        <v>42</v>
      </c>
      <c r="E10">
        <v>2024</v>
      </c>
      <c r="F10">
        <v>8</v>
      </c>
      <c r="G10">
        <v>30</v>
      </c>
      <c r="H10">
        <v>35</v>
      </c>
      <c r="I10" s="3">
        <v>8</v>
      </c>
      <c r="J10" t="s">
        <v>43</v>
      </c>
      <c r="K10" t="s">
        <v>44</v>
      </c>
      <c r="L10" t="s">
        <v>28</v>
      </c>
      <c r="M10" t="s">
        <v>45</v>
      </c>
      <c r="N10" s="3">
        <v>99.83</v>
      </c>
      <c r="O10" s="3">
        <v>110</v>
      </c>
      <c r="P10" s="3">
        <f>ApprovedTimeReport_001_202485[[#This Row],[CostRate (w/ Taxes)]]*ApprovedTimeReport_001_202485[[#This Row],[Time Actual]]</f>
        <v>880</v>
      </c>
      <c r="Q10" s="3">
        <v>0</v>
      </c>
      <c r="R10" s="3">
        <f>ApprovedTimeReport_001_202485[[#This Row],[BillingRate]]/0.8785</f>
        <v>0</v>
      </c>
      <c r="S10" s="3">
        <f>ApprovedTimeReport_001_202485[[#This Row],[BillingRate w/ Taxes]]*ApprovedTimeReport_001_202485[[#This Row],[Time Actual]]</f>
        <v>0</v>
      </c>
      <c r="T10" t="s">
        <v>25</v>
      </c>
      <c r="U10" s="2" t="str">
        <f>VLOOKUP(A:A,Vlookup!A:B,2,0)</f>
        <v>NB</v>
      </c>
    </row>
    <row r="11" spans="1:21" x14ac:dyDescent="0.25">
      <c r="A11" t="s">
        <v>38</v>
      </c>
      <c r="B11" s="1">
        <v>45533</v>
      </c>
      <c r="C11" s="1">
        <v>45538</v>
      </c>
      <c r="D11" t="s">
        <v>42</v>
      </c>
      <c r="E11">
        <v>2024</v>
      </c>
      <c r="F11">
        <v>8</v>
      </c>
      <c r="G11">
        <v>29</v>
      </c>
      <c r="H11">
        <v>35</v>
      </c>
      <c r="I11" s="3">
        <v>7</v>
      </c>
      <c r="J11" t="s">
        <v>43</v>
      </c>
      <c r="K11" t="s">
        <v>44</v>
      </c>
      <c r="L11" t="s">
        <v>28</v>
      </c>
      <c r="M11" t="s">
        <v>61</v>
      </c>
      <c r="N11" s="3">
        <v>99.83</v>
      </c>
      <c r="O11" s="3">
        <v>110</v>
      </c>
      <c r="P11" s="3">
        <f>ApprovedTimeReport_001_202485[[#This Row],[CostRate (w/ Taxes)]]*ApprovedTimeReport_001_202485[[#This Row],[Time Actual]]</f>
        <v>770</v>
      </c>
      <c r="Q11" s="3">
        <v>0</v>
      </c>
      <c r="R11" s="3">
        <f>ApprovedTimeReport_001_202485[[#This Row],[BillingRate]]/0.8785</f>
        <v>0</v>
      </c>
      <c r="S11" s="3">
        <f>ApprovedTimeReport_001_202485[[#This Row],[BillingRate w/ Taxes]]*ApprovedTimeReport_001_202485[[#This Row],[Time Actual]]</f>
        <v>0</v>
      </c>
      <c r="T11" t="s">
        <v>25</v>
      </c>
      <c r="U11" s="2" t="str">
        <f>VLOOKUP(A:A,Vlookup!A:B,2,0)</f>
        <v>NB</v>
      </c>
    </row>
    <row r="12" spans="1:21" x14ac:dyDescent="0.25">
      <c r="A12" t="s">
        <v>38</v>
      </c>
      <c r="B12" s="1">
        <v>45532</v>
      </c>
      <c r="C12" s="1">
        <v>45538</v>
      </c>
      <c r="D12" t="s">
        <v>42</v>
      </c>
      <c r="E12">
        <v>2024</v>
      </c>
      <c r="F12">
        <v>8</v>
      </c>
      <c r="G12">
        <v>28</v>
      </c>
      <c r="H12">
        <v>35</v>
      </c>
      <c r="I12" s="3">
        <v>5</v>
      </c>
      <c r="J12" t="s">
        <v>43</v>
      </c>
      <c r="K12" t="s">
        <v>44</v>
      </c>
      <c r="L12" t="s">
        <v>28</v>
      </c>
      <c r="M12" t="s">
        <v>70</v>
      </c>
      <c r="N12" s="3">
        <v>99.83</v>
      </c>
      <c r="O12" s="3">
        <v>110</v>
      </c>
      <c r="P12" s="3">
        <f>ApprovedTimeReport_001_202485[[#This Row],[CostRate (w/ Taxes)]]*ApprovedTimeReport_001_202485[[#This Row],[Time Actual]]</f>
        <v>550</v>
      </c>
      <c r="Q12" s="3">
        <v>0</v>
      </c>
      <c r="R12" s="3">
        <f>ApprovedTimeReport_001_202485[[#This Row],[BillingRate]]/0.8785</f>
        <v>0</v>
      </c>
      <c r="S12" s="3">
        <f>ApprovedTimeReport_001_202485[[#This Row],[BillingRate w/ Taxes]]*ApprovedTimeReport_001_202485[[#This Row],[Time Actual]]</f>
        <v>0</v>
      </c>
      <c r="T12" t="s">
        <v>25</v>
      </c>
      <c r="U12" s="2" t="str">
        <f>VLOOKUP(A:A,Vlookup!A:B,2,0)</f>
        <v>NB</v>
      </c>
    </row>
    <row r="13" spans="1:21" x14ac:dyDescent="0.25">
      <c r="A13" t="s">
        <v>38</v>
      </c>
      <c r="B13" s="1">
        <v>45531</v>
      </c>
      <c r="C13" s="1">
        <v>45538</v>
      </c>
      <c r="D13" t="s">
        <v>42</v>
      </c>
      <c r="E13">
        <v>2024</v>
      </c>
      <c r="F13">
        <v>8</v>
      </c>
      <c r="G13">
        <v>27</v>
      </c>
      <c r="H13">
        <v>35</v>
      </c>
      <c r="I13" s="3">
        <v>6</v>
      </c>
      <c r="J13" t="s">
        <v>43</v>
      </c>
      <c r="K13" t="s">
        <v>44</v>
      </c>
      <c r="L13" t="s">
        <v>28</v>
      </c>
      <c r="M13" t="s">
        <v>77</v>
      </c>
      <c r="N13" s="3">
        <v>99.83</v>
      </c>
      <c r="O13" s="3">
        <v>110</v>
      </c>
      <c r="P13" s="3">
        <f>ApprovedTimeReport_001_202485[[#This Row],[CostRate (w/ Taxes)]]*ApprovedTimeReport_001_202485[[#This Row],[Time Actual]]</f>
        <v>660</v>
      </c>
      <c r="Q13" s="3">
        <v>0</v>
      </c>
      <c r="R13" s="3">
        <f>ApprovedTimeReport_001_202485[[#This Row],[BillingRate]]/0.8785</f>
        <v>0</v>
      </c>
      <c r="S13" s="3">
        <f>ApprovedTimeReport_001_202485[[#This Row],[BillingRate w/ Taxes]]*ApprovedTimeReport_001_202485[[#This Row],[Time Actual]]</f>
        <v>0</v>
      </c>
      <c r="T13" t="s">
        <v>25</v>
      </c>
      <c r="U13" s="2" t="str">
        <f>VLOOKUP(A:A,Vlookup!A:B,2,0)</f>
        <v>NB</v>
      </c>
    </row>
    <row r="14" spans="1:21" x14ac:dyDescent="0.25">
      <c r="A14" t="s">
        <v>38</v>
      </c>
      <c r="B14" s="1">
        <v>45530</v>
      </c>
      <c r="C14" s="1">
        <v>45538</v>
      </c>
      <c r="D14" t="s">
        <v>42</v>
      </c>
      <c r="E14">
        <v>2024</v>
      </c>
      <c r="F14">
        <v>8</v>
      </c>
      <c r="G14">
        <v>26</v>
      </c>
      <c r="H14">
        <v>35</v>
      </c>
      <c r="I14" s="3">
        <v>6</v>
      </c>
      <c r="J14" t="s">
        <v>43</v>
      </c>
      <c r="K14" t="s">
        <v>44</v>
      </c>
      <c r="L14" t="s">
        <v>28</v>
      </c>
      <c r="M14" t="s">
        <v>79</v>
      </c>
      <c r="N14" s="3">
        <v>99.83</v>
      </c>
      <c r="O14" s="3">
        <v>110</v>
      </c>
      <c r="P14" s="3">
        <f>ApprovedTimeReport_001_202485[[#This Row],[CostRate (w/ Taxes)]]*ApprovedTimeReport_001_202485[[#This Row],[Time Actual]]</f>
        <v>660</v>
      </c>
      <c r="Q14" s="3">
        <v>0</v>
      </c>
      <c r="R14" s="3">
        <f>ApprovedTimeReport_001_202485[[#This Row],[BillingRate]]/0.8785</f>
        <v>0</v>
      </c>
      <c r="S14" s="3">
        <f>ApprovedTimeReport_001_202485[[#This Row],[BillingRate w/ Taxes]]*ApprovedTimeReport_001_202485[[#This Row],[Time Actual]]</f>
        <v>0</v>
      </c>
      <c r="T14" t="s">
        <v>25</v>
      </c>
      <c r="U14" s="2" t="str">
        <f>VLOOKUP(A:A,Vlookup!A:B,2,0)</f>
        <v>NB</v>
      </c>
    </row>
    <row r="15" spans="1:21" x14ac:dyDescent="0.25">
      <c r="A15" t="s">
        <v>38</v>
      </c>
      <c r="B15" s="1">
        <v>45527</v>
      </c>
      <c r="C15" s="1">
        <v>45538</v>
      </c>
      <c r="D15" t="s">
        <v>42</v>
      </c>
      <c r="E15">
        <v>2024</v>
      </c>
      <c r="F15">
        <v>8</v>
      </c>
      <c r="G15">
        <v>23</v>
      </c>
      <c r="H15">
        <v>34</v>
      </c>
      <c r="I15" s="3">
        <v>8</v>
      </c>
      <c r="J15" t="s">
        <v>43</v>
      </c>
      <c r="K15" t="s">
        <v>44</v>
      </c>
      <c r="L15" t="s">
        <v>28</v>
      </c>
      <c r="M15" t="s">
        <v>83</v>
      </c>
      <c r="N15" s="3">
        <v>99.83</v>
      </c>
      <c r="O15" s="3">
        <v>110</v>
      </c>
      <c r="P15" s="3">
        <f>ApprovedTimeReport_001_202485[[#This Row],[CostRate (w/ Taxes)]]*ApprovedTimeReport_001_202485[[#This Row],[Time Actual]]</f>
        <v>880</v>
      </c>
      <c r="Q15" s="3">
        <v>0</v>
      </c>
      <c r="R15" s="3">
        <f>ApprovedTimeReport_001_202485[[#This Row],[BillingRate]]/0.8785</f>
        <v>0</v>
      </c>
      <c r="S15" s="3">
        <f>ApprovedTimeReport_001_202485[[#This Row],[BillingRate w/ Taxes]]*ApprovedTimeReport_001_202485[[#This Row],[Time Actual]]</f>
        <v>0</v>
      </c>
      <c r="T15" t="s">
        <v>25</v>
      </c>
      <c r="U15" s="2" t="str">
        <f>VLOOKUP(A:A,Vlookup!A:B,2,0)</f>
        <v>NB</v>
      </c>
    </row>
    <row r="16" spans="1:21" x14ac:dyDescent="0.25">
      <c r="A16" t="s">
        <v>38</v>
      </c>
      <c r="B16" s="1">
        <v>45526</v>
      </c>
      <c r="C16" s="1">
        <v>45538</v>
      </c>
      <c r="D16" t="s">
        <v>42</v>
      </c>
      <c r="E16">
        <v>2024</v>
      </c>
      <c r="F16">
        <v>8</v>
      </c>
      <c r="G16">
        <v>22</v>
      </c>
      <c r="H16">
        <v>34</v>
      </c>
      <c r="I16" s="3">
        <v>8</v>
      </c>
      <c r="J16" t="s">
        <v>43</v>
      </c>
      <c r="K16" t="s">
        <v>44</v>
      </c>
      <c r="L16" t="s">
        <v>28</v>
      </c>
      <c r="M16" t="s">
        <v>86</v>
      </c>
      <c r="N16" s="3">
        <v>99.83</v>
      </c>
      <c r="O16" s="3">
        <v>110</v>
      </c>
      <c r="P16" s="3">
        <f>ApprovedTimeReport_001_202485[[#This Row],[CostRate (w/ Taxes)]]*ApprovedTimeReport_001_202485[[#This Row],[Time Actual]]</f>
        <v>880</v>
      </c>
      <c r="Q16" s="3">
        <v>0</v>
      </c>
      <c r="R16" s="3">
        <f>ApprovedTimeReport_001_202485[[#This Row],[BillingRate]]/0.8785</f>
        <v>0</v>
      </c>
      <c r="S16" s="3">
        <f>ApprovedTimeReport_001_202485[[#This Row],[BillingRate w/ Taxes]]*ApprovedTimeReport_001_202485[[#This Row],[Time Actual]]</f>
        <v>0</v>
      </c>
      <c r="T16" t="s">
        <v>25</v>
      </c>
      <c r="U16" s="2" t="str">
        <f>VLOOKUP(A:A,Vlookup!A:B,2,0)</f>
        <v>NB</v>
      </c>
    </row>
    <row r="17" spans="1:21" x14ac:dyDescent="0.25">
      <c r="A17" t="s">
        <v>38</v>
      </c>
      <c r="B17" s="1">
        <v>45525</v>
      </c>
      <c r="C17" s="1">
        <v>45538</v>
      </c>
      <c r="D17" t="s">
        <v>42</v>
      </c>
      <c r="E17">
        <v>2024</v>
      </c>
      <c r="F17">
        <v>8</v>
      </c>
      <c r="G17">
        <v>21</v>
      </c>
      <c r="H17">
        <v>34</v>
      </c>
      <c r="I17" s="3">
        <v>7</v>
      </c>
      <c r="J17" t="s">
        <v>43</v>
      </c>
      <c r="K17" t="s">
        <v>44</v>
      </c>
      <c r="L17" t="s">
        <v>28</v>
      </c>
      <c r="M17" t="s">
        <v>87</v>
      </c>
      <c r="N17" s="3">
        <v>99.83</v>
      </c>
      <c r="O17" s="3">
        <v>110</v>
      </c>
      <c r="P17" s="3">
        <f>ApprovedTimeReport_001_202485[[#This Row],[CostRate (w/ Taxes)]]*ApprovedTimeReport_001_202485[[#This Row],[Time Actual]]</f>
        <v>770</v>
      </c>
      <c r="Q17" s="3">
        <v>0</v>
      </c>
      <c r="R17" s="3">
        <f>ApprovedTimeReport_001_202485[[#This Row],[BillingRate]]/0.8785</f>
        <v>0</v>
      </c>
      <c r="S17" s="3">
        <f>ApprovedTimeReport_001_202485[[#This Row],[BillingRate w/ Taxes]]*ApprovedTimeReport_001_202485[[#This Row],[Time Actual]]</f>
        <v>0</v>
      </c>
      <c r="T17" t="s">
        <v>25</v>
      </c>
      <c r="U17" s="2" t="str">
        <f>VLOOKUP(A:A,Vlookup!A:B,2,0)</f>
        <v>NB</v>
      </c>
    </row>
    <row r="18" spans="1:21" x14ac:dyDescent="0.25">
      <c r="A18" t="s">
        <v>38</v>
      </c>
      <c r="B18" s="1">
        <v>45524</v>
      </c>
      <c r="C18" s="1">
        <v>45538</v>
      </c>
      <c r="D18" t="s">
        <v>42</v>
      </c>
      <c r="E18">
        <v>2024</v>
      </c>
      <c r="F18">
        <v>8</v>
      </c>
      <c r="G18">
        <v>20</v>
      </c>
      <c r="H18">
        <v>34</v>
      </c>
      <c r="I18" s="3">
        <v>6</v>
      </c>
      <c r="J18" t="s">
        <v>43</v>
      </c>
      <c r="K18" t="s">
        <v>44</v>
      </c>
      <c r="L18" t="s">
        <v>28</v>
      </c>
      <c r="M18" t="s">
        <v>89</v>
      </c>
      <c r="N18" s="3">
        <v>99.83</v>
      </c>
      <c r="O18" s="3">
        <v>110</v>
      </c>
      <c r="P18" s="3">
        <f>ApprovedTimeReport_001_202485[[#This Row],[CostRate (w/ Taxes)]]*ApprovedTimeReport_001_202485[[#This Row],[Time Actual]]</f>
        <v>660</v>
      </c>
      <c r="Q18" s="3">
        <v>0</v>
      </c>
      <c r="R18" s="3">
        <f>ApprovedTimeReport_001_202485[[#This Row],[BillingRate]]/0.8785</f>
        <v>0</v>
      </c>
      <c r="S18" s="3">
        <f>ApprovedTimeReport_001_202485[[#This Row],[BillingRate w/ Taxes]]*ApprovedTimeReport_001_202485[[#This Row],[Time Actual]]</f>
        <v>0</v>
      </c>
      <c r="T18" t="s">
        <v>25</v>
      </c>
      <c r="U18" s="2" t="str">
        <f>VLOOKUP(A:A,Vlookup!A:B,2,0)</f>
        <v>NB</v>
      </c>
    </row>
    <row r="19" spans="1:21" x14ac:dyDescent="0.25">
      <c r="A19" t="s">
        <v>38</v>
      </c>
      <c r="B19" s="1">
        <v>45523</v>
      </c>
      <c r="C19" s="1">
        <v>45538</v>
      </c>
      <c r="D19" t="s">
        <v>42</v>
      </c>
      <c r="E19">
        <v>2024</v>
      </c>
      <c r="F19">
        <v>8</v>
      </c>
      <c r="G19">
        <v>19</v>
      </c>
      <c r="H19">
        <v>34</v>
      </c>
      <c r="I19" s="3">
        <v>4</v>
      </c>
      <c r="J19" t="s">
        <v>43</v>
      </c>
      <c r="K19" t="s">
        <v>44</v>
      </c>
      <c r="L19" t="s">
        <v>28</v>
      </c>
      <c r="M19" t="s">
        <v>94</v>
      </c>
      <c r="N19" s="3">
        <v>99.83</v>
      </c>
      <c r="O19" s="3">
        <v>110</v>
      </c>
      <c r="P19" s="3">
        <f>ApprovedTimeReport_001_202485[[#This Row],[CostRate (w/ Taxes)]]*ApprovedTimeReport_001_202485[[#This Row],[Time Actual]]</f>
        <v>440</v>
      </c>
      <c r="Q19" s="3">
        <v>0</v>
      </c>
      <c r="R19" s="3">
        <f>ApprovedTimeReport_001_202485[[#This Row],[BillingRate]]/0.8785</f>
        <v>0</v>
      </c>
      <c r="S19" s="3">
        <f>ApprovedTimeReport_001_202485[[#This Row],[BillingRate w/ Taxes]]*ApprovedTimeReport_001_202485[[#This Row],[Time Actual]]</f>
        <v>0</v>
      </c>
      <c r="T19" t="s">
        <v>25</v>
      </c>
      <c r="U19" s="2" t="str">
        <f>VLOOKUP(A:A,Vlookup!A:B,2,0)</f>
        <v>NB</v>
      </c>
    </row>
    <row r="20" spans="1:21" x14ac:dyDescent="0.25">
      <c r="A20" t="s">
        <v>38</v>
      </c>
      <c r="B20" s="1">
        <v>45519</v>
      </c>
      <c r="C20" s="1">
        <v>45538</v>
      </c>
      <c r="D20" t="s">
        <v>42</v>
      </c>
      <c r="E20">
        <v>2024</v>
      </c>
      <c r="F20">
        <v>8</v>
      </c>
      <c r="G20">
        <v>15</v>
      </c>
      <c r="H20">
        <v>33</v>
      </c>
      <c r="I20" s="3">
        <v>4</v>
      </c>
      <c r="J20" t="s">
        <v>43</v>
      </c>
      <c r="K20" t="s">
        <v>44</v>
      </c>
      <c r="L20" t="s">
        <v>28</v>
      </c>
      <c r="M20" t="s">
        <v>100</v>
      </c>
      <c r="N20" s="3">
        <v>99.83</v>
      </c>
      <c r="O20" s="3">
        <v>110</v>
      </c>
      <c r="P20" s="3">
        <f>ApprovedTimeReport_001_202485[[#This Row],[CostRate (w/ Taxes)]]*ApprovedTimeReport_001_202485[[#This Row],[Time Actual]]</f>
        <v>440</v>
      </c>
      <c r="Q20" s="3">
        <v>0</v>
      </c>
      <c r="R20" s="3">
        <f>ApprovedTimeReport_001_202485[[#This Row],[BillingRate]]/0.8785</f>
        <v>0</v>
      </c>
      <c r="S20" s="3">
        <f>ApprovedTimeReport_001_202485[[#This Row],[BillingRate w/ Taxes]]*ApprovedTimeReport_001_202485[[#This Row],[Time Actual]]</f>
        <v>0</v>
      </c>
      <c r="T20" t="s">
        <v>25</v>
      </c>
      <c r="U20" s="2" t="str">
        <f>VLOOKUP(A:A,Vlookup!A:B,2,0)</f>
        <v>NB</v>
      </c>
    </row>
    <row r="21" spans="1:21" x14ac:dyDescent="0.25">
      <c r="A21" t="s">
        <v>38</v>
      </c>
      <c r="B21" s="1">
        <v>45518</v>
      </c>
      <c r="C21" s="1">
        <v>45538</v>
      </c>
      <c r="D21" t="s">
        <v>42</v>
      </c>
      <c r="E21">
        <v>2024</v>
      </c>
      <c r="F21">
        <v>8</v>
      </c>
      <c r="G21">
        <v>14</v>
      </c>
      <c r="H21">
        <v>33</v>
      </c>
      <c r="I21" s="3">
        <v>3</v>
      </c>
      <c r="J21" t="s">
        <v>43</v>
      </c>
      <c r="K21" t="s">
        <v>44</v>
      </c>
      <c r="L21" t="s">
        <v>28</v>
      </c>
      <c r="M21" t="s">
        <v>104</v>
      </c>
      <c r="N21" s="3">
        <v>99.83</v>
      </c>
      <c r="O21" s="3">
        <v>110</v>
      </c>
      <c r="P21" s="3">
        <f>ApprovedTimeReport_001_202485[[#This Row],[CostRate (w/ Taxes)]]*ApprovedTimeReport_001_202485[[#This Row],[Time Actual]]</f>
        <v>330</v>
      </c>
      <c r="Q21" s="3">
        <v>0</v>
      </c>
      <c r="R21" s="3">
        <f>ApprovedTimeReport_001_202485[[#This Row],[BillingRate]]/0.8785</f>
        <v>0</v>
      </c>
      <c r="S21" s="3">
        <f>ApprovedTimeReport_001_202485[[#This Row],[BillingRate w/ Taxes]]*ApprovedTimeReport_001_202485[[#This Row],[Time Actual]]</f>
        <v>0</v>
      </c>
      <c r="T21" t="s">
        <v>25</v>
      </c>
      <c r="U21" s="2" t="str">
        <f>VLOOKUP(A:A,Vlookup!A:B,2,0)</f>
        <v>NB</v>
      </c>
    </row>
    <row r="22" spans="1:21" x14ac:dyDescent="0.25">
      <c r="A22" t="s">
        <v>38</v>
      </c>
      <c r="B22" s="1">
        <v>45517</v>
      </c>
      <c r="C22" s="1">
        <v>45538</v>
      </c>
      <c r="D22" t="s">
        <v>42</v>
      </c>
      <c r="E22">
        <v>2024</v>
      </c>
      <c r="F22">
        <v>8</v>
      </c>
      <c r="G22">
        <v>13</v>
      </c>
      <c r="H22">
        <v>33</v>
      </c>
      <c r="I22" s="3">
        <v>7</v>
      </c>
      <c r="J22" t="s">
        <v>43</v>
      </c>
      <c r="K22" t="s">
        <v>44</v>
      </c>
      <c r="L22" t="s">
        <v>28</v>
      </c>
      <c r="M22" t="s">
        <v>107</v>
      </c>
      <c r="N22" s="3">
        <v>99.83</v>
      </c>
      <c r="O22" s="3">
        <v>110</v>
      </c>
      <c r="P22" s="3">
        <f>ApprovedTimeReport_001_202485[[#This Row],[CostRate (w/ Taxes)]]*ApprovedTimeReport_001_202485[[#This Row],[Time Actual]]</f>
        <v>770</v>
      </c>
      <c r="Q22" s="3">
        <v>0</v>
      </c>
      <c r="R22" s="3">
        <f>ApprovedTimeReport_001_202485[[#This Row],[BillingRate]]/0.8785</f>
        <v>0</v>
      </c>
      <c r="S22" s="3">
        <f>ApprovedTimeReport_001_202485[[#This Row],[BillingRate w/ Taxes]]*ApprovedTimeReport_001_202485[[#This Row],[Time Actual]]</f>
        <v>0</v>
      </c>
      <c r="T22" t="s">
        <v>25</v>
      </c>
      <c r="U22" s="2" t="str">
        <f>VLOOKUP(A:A,Vlookup!A:B,2,0)</f>
        <v>NB</v>
      </c>
    </row>
    <row r="23" spans="1:21" x14ac:dyDescent="0.25">
      <c r="A23" t="s">
        <v>38</v>
      </c>
      <c r="B23" s="1">
        <v>45513</v>
      </c>
      <c r="C23" s="1">
        <v>45538</v>
      </c>
      <c r="D23" t="s">
        <v>42</v>
      </c>
      <c r="E23">
        <v>2024</v>
      </c>
      <c r="F23">
        <v>8</v>
      </c>
      <c r="G23">
        <v>9</v>
      </c>
      <c r="H23">
        <v>32</v>
      </c>
      <c r="I23" s="3">
        <v>8</v>
      </c>
      <c r="J23" t="s">
        <v>43</v>
      </c>
      <c r="K23" t="s">
        <v>44</v>
      </c>
      <c r="L23" t="s">
        <v>28</v>
      </c>
      <c r="M23" t="s">
        <v>111</v>
      </c>
      <c r="N23" s="3">
        <v>99.83</v>
      </c>
      <c r="O23" s="3">
        <v>110</v>
      </c>
      <c r="P23" s="3">
        <f>ApprovedTimeReport_001_202485[[#This Row],[CostRate (w/ Taxes)]]*ApprovedTimeReport_001_202485[[#This Row],[Time Actual]]</f>
        <v>880</v>
      </c>
      <c r="Q23" s="3">
        <v>0</v>
      </c>
      <c r="R23" s="3">
        <f>ApprovedTimeReport_001_202485[[#This Row],[BillingRate]]/0.8785</f>
        <v>0</v>
      </c>
      <c r="S23" s="3">
        <f>ApprovedTimeReport_001_202485[[#This Row],[BillingRate w/ Taxes]]*ApprovedTimeReport_001_202485[[#This Row],[Time Actual]]</f>
        <v>0</v>
      </c>
      <c r="T23" t="s">
        <v>25</v>
      </c>
      <c r="U23" s="2" t="str">
        <f>VLOOKUP(A:A,Vlookup!A:B,2,0)</f>
        <v>NB</v>
      </c>
    </row>
    <row r="24" spans="1:21" x14ac:dyDescent="0.25">
      <c r="A24" t="s">
        <v>38</v>
      </c>
      <c r="B24" s="1">
        <v>45512</v>
      </c>
      <c r="C24" s="1">
        <v>45538</v>
      </c>
      <c r="D24" t="s">
        <v>42</v>
      </c>
      <c r="E24">
        <v>2024</v>
      </c>
      <c r="F24">
        <v>8</v>
      </c>
      <c r="G24">
        <v>8</v>
      </c>
      <c r="H24">
        <v>32</v>
      </c>
      <c r="I24" s="3">
        <v>6</v>
      </c>
      <c r="J24" t="s">
        <v>43</v>
      </c>
      <c r="K24" t="s">
        <v>44</v>
      </c>
      <c r="L24" t="s">
        <v>28</v>
      </c>
      <c r="M24" t="s">
        <v>112</v>
      </c>
      <c r="N24" s="3">
        <v>99.83</v>
      </c>
      <c r="O24" s="3">
        <v>110</v>
      </c>
      <c r="P24" s="3">
        <f>ApprovedTimeReport_001_202485[[#This Row],[CostRate (w/ Taxes)]]*ApprovedTimeReport_001_202485[[#This Row],[Time Actual]]</f>
        <v>660</v>
      </c>
      <c r="Q24" s="3">
        <v>0</v>
      </c>
      <c r="R24" s="3">
        <f>ApprovedTimeReport_001_202485[[#This Row],[BillingRate]]/0.8785</f>
        <v>0</v>
      </c>
      <c r="S24" s="3">
        <f>ApprovedTimeReport_001_202485[[#This Row],[BillingRate w/ Taxes]]*ApprovedTimeReport_001_202485[[#This Row],[Time Actual]]</f>
        <v>0</v>
      </c>
      <c r="T24" t="s">
        <v>25</v>
      </c>
      <c r="U24" s="2" t="str">
        <f>VLOOKUP(A:A,Vlookup!A:B,2,0)</f>
        <v>NB</v>
      </c>
    </row>
    <row r="25" spans="1:21" x14ac:dyDescent="0.25">
      <c r="A25" t="s">
        <v>38</v>
      </c>
      <c r="B25" s="1">
        <v>45511</v>
      </c>
      <c r="C25" s="1">
        <v>45538</v>
      </c>
      <c r="D25" t="s">
        <v>42</v>
      </c>
      <c r="E25">
        <v>2024</v>
      </c>
      <c r="F25">
        <v>8</v>
      </c>
      <c r="G25">
        <v>7</v>
      </c>
      <c r="H25">
        <v>32</v>
      </c>
      <c r="I25" s="3">
        <v>6</v>
      </c>
      <c r="J25" t="s">
        <v>43</v>
      </c>
      <c r="K25" t="s">
        <v>44</v>
      </c>
      <c r="L25" t="s">
        <v>28</v>
      </c>
      <c r="M25" t="s">
        <v>114</v>
      </c>
      <c r="N25" s="3">
        <v>99.83</v>
      </c>
      <c r="O25" s="3">
        <v>110</v>
      </c>
      <c r="P25" s="3">
        <f>ApprovedTimeReport_001_202485[[#This Row],[CostRate (w/ Taxes)]]*ApprovedTimeReport_001_202485[[#This Row],[Time Actual]]</f>
        <v>660</v>
      </c>
      <c r="Q25" s="3">
        <v>0</v>
      </c>
      <c r="R25" s="3">
        <f>ApprovedTimeReport_001_202485[[#This Row],[BillingRate]]/0.8785</f>
        <v>0</v>
      </c>
      <c r="S25" s="3">
        <f>ApprovedTimeReport_001_202485[[#This Row],[BillingRate w/ Taxes]]*ApprovedTimeReport_001_202485[[#This Row],[Time Actual]]</f>
        <v>0</v>
      </c>
      <c r="T25" t="s">
        <v>25</v>
      </c>
      <c r="U25" s="2" t="str">
        <f>VLOOKUP(A:A,Vlookup!A:B,2,0)</f>
        <v>NB</v>
      </c>
    </row>
    <row r="26" spans="1:21" x14ac:dyDescent="0.25">
      <c r="A26" t="s">
        <v>38</v>
      </c>
      <c r="B26" s="1">
        <v>45510</v>
      </c>
      <c r="C26" s="1">
        <v>45538</v>
      </c>
      <c r="D26" t="s">
        <v>42</v>
      </c>
      <c r="E26">
        <v>2024</v>
      </c>
      <c r="F26">
        <v>8</v>
      </c>
      <c r="G26">
        <v>6</v>
      </c>
      <c r="H26">
        <v>32</v>
      </c>
      <c r="I26" s="3">
        <v>4</v>
      </c>
      <c r="J26" t="s">
        <v>43</v>
      </c>
      <c r="K26" t="s">
        <v>44</v>
      </c>
      <c r="L26" t="s">
        <v>28</v>
      </c>
      <c r="M26" t="s">
        <v>120</v>
      </c>
      <c r="N26" s="3">
        <v>99.83</v>
      </c>
      <c r="O26" s="3">
        <v>110</v>
      </c>
      <c r="P26" s="3">
        <f>ApprovedTimeReport_001_202485[[#This Row],[CostRate (w/ Taxes)]]*ApprovedTimeReport_001_202485[[#This Row],[Time Actual]]</f>
        <v>440</v>
      </c>
      <c r="Q26" s="3">
        <v>0</v>
      </c>
      <c r="R26" s="3">
        <f>ApprovedTimeReport_001_202485[[#This Row],[BillingRate]]/0.8785</f>
        <v>0</v>
      </c>
      <c r="S26" s="3">
        <f>ApprovedTimeReport_001_202485[[#This Row],[BillingRate w/ Taxes]]*ApprovedTimeReport_001_202485[[#This Row],[Time Actual]]</f>
        <v>0</v>
      </c>
      <c r="T26" t="s">
        <v>25</v>
      </c>
      <c r="U26" s="2" t="str">
        <f>VLOOKUP(A:A,Vlookup!A:B,2,0)</f>
        <v>NB</v>
      </c>
    </row>
    <row r="27" spans="1:21" x14ac:dyDescent="0.25">
      <c r="A27" t="s">
        <v>38</v>
      </c>
      <c r="B27" s="1">
        <v>45509</v>
      </c>
      <c r="C27" s="1">
        <v>45538</v>
      </c>
      <c r="D27" t="s">
        <v>42</v>
      </c>
      <c r="E27">
        <v>2024</v>
      </c>
      <c r="F27">
        <v>8</v>
      </c>
      <c r="G27">
        <v>5</v>
      </c>
      <c r="H27">
        <v>32</v>
      </c>
      <c r="I27" s="3">
        <v>8</v>
      </c>
      <c r="J27" t="s">
        <v>43</v>
      </c>
      <c r="K27" t="s">
        <v>44</v>
      </c>
      <c r="L27" t="s">
        <v>28</v>
      </c>
      <c r="M27" t="s">
        <v>121</v>
      </c>
      <c r="N27" s="3">
        <v>99.83</v>
      </c>
      <c r="O27" s="3">
        <v>110</v>
      </c>
      <c r="P27" s="3">
        <f>ApprovedTimeReport_001_202485[[#This Row],[CostRate (w/ Taxes)]]*ApprovedTimeReport_001_202485[[#This Row],[Time Actual]]</f>
        <v>880</v>
      </c>
      <c r="Q27" s="3">
        <v>0</v>
      </c>
      <c r="R27" s="3">
        <f>ApprovedTimeReport_001_202485[[#This Row],[BillingRate]]/0.8785</f>
        <v>0</v>
      </c>
      <c r="S27" s="3">
        <f>ApprovedTimeReport_001_202485[[#This Row],[BillingRate w/ Taxes]]*ApprovedTimeReport_001_202485[[#This Row],[Time Actual]]</f>
        <v>0</v>
      </c>
      <c r="T27" t="s">
        <v>25</v>
      </c>
      <c r="U27" s="2" t="str">
        <f>VLOOKUP(A:A,Vlookup!A:B,2,0)</f>
        <v>NB</v>
      </c>
    </row>
    <row r="28" spans="1:21" x14ac:dyDescent="0.25">
      <c r="A28" t="s">
        <v>38</v>
      </c>
      <c r="B28" s="1">
        <v>45506</v>
      </c>
      <c r="C28" s="1">
        <v>45538</v>
      </c>
      <c r="D28" t="s">
        <v>42</v>
      </c>
      <c r="E28">
        <v>2024</v>
      </c>
      <c r="F28">
        <v>8</v>
      </c>
      <c r="G28">
        <v>2</v>
      </c>
      <c r="H28">
        <v>31</v>
      </c>
      <c r="I28" s="3">
        <v>8</v>
      </c>
      <c r="J28" t="s">
        <v>43</v>
      </c>
      <c r="K28" t="s">
        <v>44</v>
      </c>
      <c r="L28" t="s">
        <v>28</v>
      </c>
      <c r="M28" t="s">
        <v>123</v>
      </c>
      <c r="N28" s="3">
        <v>99.83</v>
      </c>
      <c r="O28" s="3">
        <v>110</v>
      </c>
      <c r="P28" s="3">
        <f>ApprovedTimeReport_001_202485[[#This Row],[CostRate (w/ Taxes)]]*ApprovedTimeReport_001_202485[[#This Row],[Time Actual]]</f>
        <v>880</v>
      </c>
      <c r="Q28" s="3">
        <v>0</v>
      </c>
      <c r="R28" s="3">
        <f>ApprovedTimeReport_001_202485[[#This Row],[BillingRate]]/0.8785</f>
        <v>0</v>
      </c>
      <c r="S28" s="3">
        <f>ApprovedTimeReport_001_202485[[#This Row],[BillingRate w/ Taxes]]*ApprovedTimeReport_001_202485[[#This Row],[Time Actual]]</f>
        <v>0</v>
      </c>
      <c r="T28" t="s">
        <v>25</v>
      </c>
      <c r="U28" s="2" t="str">
        <f>VLOOKUP(A:A,Vlookup!A:B,2,0)</f>
        <v>NB</v>
      </c>
    </row>
    <row r="29" spans="1:21" x14ac:dyDescent="0.25">
      <c r="A29" t="s">
        <v>38</v>
      </c>
      <c r="B29" s="1">
        <v>45505</v>
      </c>
      <c r="C29" s="1">
        <v>45538</v>
      </c>
      <c r="D29" t="s">
        <v>42</v>
      </c>
      <c r="E29">
        <v>2024</v>
      </c>
      <c r="F29">
        <v>8</v>
      </c>
      <c r="G29">
        <v>1</v>
      </c>
      <c r="H29">
        <v>31</v>
      </c>
      <c r="I29" s="3">
        <v>4</v>
      </c>
      <c r="J29" t="s">
        <v>43</v>
      </c>
      <c r="K29" t="s">
        <v>44</v>
      </c>
      <c r="L29" t="s">
        <v>28</v>
      </c>
      <c r="M29" t="s">
        <v>127</v>
      </c>
      <c r="N29" s="3">
        <v>99.83</v>
      </c>
      <c r="O29" s="3">
        <v>110</v>
      </c>
      <c r="P29" s="3">
        <f>ApprovedTimeReport_001_202485[[#This Row],[CostRate (w/ Taxes)]]*ApprovedTimeReport_001_202485[[#This Row],[Time Actual]]</f>
        <v>440</v>
      </c>
      <c r="Q29" s="3">
        <v>0</v>
      </c>
      <c r="R29" s="3">
        <f>ApprovedTimeReport_001_202485[[#This Row],[BillingRate]]/0.8785</f>
        <v>0</v>
      </c>
      <c r="S29" s="3">
        <f>ApprovedTimeReport_001_202485[[#This Row],[BillingRate w/ Taxes]]*ApprovedTimeReport_001_202485[[#This Row],[Time Actual]]</f>
        <v>0</v>
      </c>
      <c r="T29" t="s">
        <v>25</v>
      </c>
      <c r="U29" s="2" t="str">
        <f>VLOOKUP(A:A,Vlookup!A:B,2,0)</f>
        <v>NB</v>
      </c>
    </row>
    <row r="30" spans="1:21" x14ac:dyDescent="0.25">
      <c r="A30" t="s">
        <v>30</v>
      </c>
      <c r="B30" s="1">
        <v>45533</v>
      </c>
      <c r="C30" s="1">
        <v>45538</v>
      </c>
      <c r="D30" t="s">
        <v>17</v>
      </c>
      <c r="E30">
        <v>2024</v>
      </c>
      <c r="F30">
        <v>8</v>
      </c>
      <c r="G30">
        <v>29</v>
      </c>
      <c r="H30">
        <v>35</v>
      </c>
      <c r="I30" s="3">
        <v>1</v>
      </c>
      <c r="J30" t="s">
        <v>43</v>
      </c>
      <c r="K30" t="s">
        <v>44</v>
      </c>
      <c r="L30" t="s">
        <v>18</v>
      </c>
      <c r="M30" t="s">
        <v>64</v>
      </c>
      <c r="N30" s="3">
        <v>99.83</v>
      </c>
      <c r="O30" s="3">
        <v>110</v>
      </c>
      <c r="P30" s="3">
        <f>ApprovedTimeReport_001_202485[[#This Row],[CostRate (w/ Taxes)]]*ApprovedTimeReport_001_202485[[#This Row],[Time Actual]]</f>
        <v>110</v>
      </c>
      <c r="Q30" s="3">
        <v>0</v>
      </c>
      <c r="R30" s="3">
        <f>ApprovedTimeReport_001_202485[[#This Row],[BillingRate]]/0.8785</f>
        <v>0</v>
      </c>
      <c r="S30" s="3">
        <f>ApprovedTimeReport_001_202485[[#This Row],[BillingRate w/ Taxes]]*ApprovedTimeReport_001_202485[[#This Row],[Time Actual]]</f>
        <v>0</v>
      </c>
      <c r="T30" t="s">
        <v>25</v>
      </c>
      <c r="U30" s="2" t="str">
        <f>VLOOKUP(A:A,Vlookup!A:B,2,0)</f>
        <v>NB</v>
      </c>
    </row>
    <row r="31" spans="1:21" x14ac:dyDescent="0.25">
      <c r="A31" t="s">
        <v>30</v>
      </c>
      <c r="B31" s="1">
        <v>45532</v>
      </c>
      <c r="C31" s="1">
        <v>45538</v>
      </c>
      <c r="D31" t="s">
        <v>17</v>
      </c>
      <c r="E31">
        <v>2024</v>
      </c>
      <c r="F31">
        <v>8</v>
      </c>
      <c r="G31">
        <v>28</v>
      </c>
      <c r="H31">
        <v>35</v>
      </c>
      <c r="I31" s="3">
        <v>2</v>
      </c>
      <c r="J31" t="s">
        <v>43</v>
      </c>
      <c r="K31" t="s">
        <v>44</v>
      </c>
      <c r="L31" t="s">
        <v>18</v>
      </c>
      <c r="M31" t="s">
        <v>71</v>
      </c>
      <c r="N31" s="3">
        <v>99.83</v>
      </c>
      <c r="O31" s="3">
        <v>110</v>
      </c>
      <c r="P31" s="3">
        <f>ApprovedTimeReport_001_202485[[#This Row],[CostRate (w/ Taxes)]]*ApprovedTimeReport_001_202485[[#This Row],[Time Actual]]</f>
        <v>220</v>
      </c>
      <c r="Q31" s="3">
        <v>0</v>
      </c>
      <c r="R31" s="3">
        <f>ApprovedTimeReport_001_202485[[#This Row],[BillingRate]]/0.8785</f>
        <v>0</v>
      </c>
      <c r="S31" s="3">
        <f>ApprovedTimeReport_001_202485[[#This Row],[BillingRate w/ Taxes]]*ApprovedTimeReport_001_202485[[#This Row],[Time Actual]]</f>
        <v>0</v>
      </c>
      <c r="T31" t="s">
        <v>25</v>
      </c>
      <c r="U31" s="2" t="str">
        <f>VLOOKUP(A:A,Vlookup!A:B,2,0)</f>
        <v>NB</v>
      </c>
    </row>
    <row r="32" spans="1:21" x14ac:dyDescent="0.25">
      <c r="A32" t="s">
        <v>30</v>
      </c>
      <c r="B32" s="1">
        <v>45531</v>
      </c>
      <c r="C32" s="1">
        <v>45538</v>
      </c>
      <c r="D32" t="s">
        <v>17</v>
      </c>
      <c r="E32">
        <v>2024</v>
      </c>
      <c r="F32">
        <v>8</v>
      </c>
      <c r="G32">
        <v>27</v>
      </c>
      <c r="H32">
        <v>35</v>
      </c>
      <c r="I32" s="3">
        <v>1</v>
      </c>
      <c r="J32" t="s">
        <v>43</v>
      </c>
      <c r="K32" t="s">
        <v>44</v>
      </c>
      <c r="L32" t="s">
        <v>18</v>
      </c>
      <c r="M32" t="s">
        <v>75</v>
      </c>
      <c r="N32" s="3">
        <v>99.83</v>
      </c>
      <c r="O32" s="3">
        <v>110</v>
      </c>
      <c r="P32" s="3">
        <f>ApprovedTimeReport_001_202485[[#This Row],[CostRate (w/ Taxes)]]*ApprovedTimeReport_001_202485[[#This Row],[Time Actual]]</f>
        <v>110</v>
      </c>
      <c r="Q32" s="3">
        <v>0</v>
      </c>
      <c r="R32" s="3">
        <f>ApprovedTimeReport_001_202485[[#This Row],[BillingRate]]/0.8785</f>
        <v>0</v>
      </c>
      <c r="S32" s="3">
        <f>ApprovedTimeReport_001_202485[[#This Row],[BillingRate w/ Taxes]]*ApprovedTimeReport_001_202485[[#This Row],[Time Actual]]</f>
        <v>0</v>
      </c>
      <c r="T32" t="s">
        <v>25</v>
      </c>
      <c r="U32" s="2" t="str">
        <f>VLOOKUP(A:A,Vlookup!A:B,2,0)</f>
        <v>NB</v>
      </c>
    </row>
    <row r="33" spans="1:21" x14ac:dyDescent="0.25">
      <c r="A33" t="s">
        <v>30</v>
      </c>
      <c r="B33" s="1">
        <v>45530</v>
      </c>
      <c r="C33" s="1">
        <v>45538</v>
      </c>
      <c r="D33" t="s">
        <v>17</v>
      </c>
      <c r="E33">
        <v>2024</v>
      </c>
      <c r="F33">
        <v>8</v>
      </c>
      <c r="G33">
        <v>26</v>
      </c>
      <c r="H33">
        <v>35</v>
      </c>
      <c r="I33" s="3">
        <v>2</v>
      </c>
      <c r="J33" t="s">
        <v>43</v>
      </c>
      <c r="K33" t="s">
        <v>44</v>
      </c>
      <c r="L33" t="s">
        <v>18</v>
      </c>
      <c r="M33" t="s">
        <v>80</v>
      </c>
      <c r="N33" s="3">
        <v>99.83</v>
      </c>
      <c r="O33" s="3">
        <v>110</v>
      </c>
      <c r="P33" s="3">
        <f>ApprovedTimeReport_001_202485[[#This Row],[CostRate (w/ Taxes)]]*ApprovedTimeReport_001_202485[[#This Row],[Time Actual]]</f>
        <v>220</v>
      </c>
      <c r="Q33" s="3">
        <v>0</v>
      </c>
      <c r="R33" s="3">
        <f>ApprovedTimeReport_001_202485[[#This Row],[BillingRate]]/0.8785</f>
        <v>0</v>
      </c>
      <c r="S33" s="3">
        <f>ApprovedTimeReport_001_202485[[#This Row],[BillingRate w/ Taxes]]*ApprovedTimeReport_001_202485[[#This Row],[Time Actual]]</f>
        <v>0</v>
      </c>
      <c r="T33" t="s">
        <v>25</v>
      </c>
      <c r="U33" s="2" t="str">
        <f>VLOOKUP(A:A,Vlookup!A:B,2,0)</f>
        <v>NB</v>
      </c>
    </row>
    <row r="34" spans="1:21" x14ac:dyDescent="0.25">
      <c r="A34" t="s">
        <v>30</v>
      </c>
      <c r="B34" s="1">
        <v>45523</v>
      </c>
      <c r="C34" s="1">
        <v>45538</v>
      </c>
      <c r="D34" t="s">
        <v>17</v>
      </c>
      <c r="E34">
        <v>2024</v>
      </c>
      <c r="F34">
        <v>8</v>
      </c>
      <c r="G34">
        <v>19</v>
      </c>
      <c r="H34">
        <v>34</v>
      </c>
      <c r="I34" s="3">
        <v>4</v>
      </c>
      <c r="J34" t="s">
        <v>43</v>
      </c>
      <c r="K34" t="s">
        <v>44</v>
      </c>
      <c r="L34" t="s">
        <v>18</v>
      </c>
      <c r="M34" t="s">
        <v>95</v>
      </c>
      <c r="N34" s="3">
        <v>99.83</v>
      </c>
      <c r="O34" s="3">
        <v>110</v>
      </c>
      <c r="P34" s="3">
        <f>ApprovedTimeReport_001_202485[[#This Row],[CostRate (w/ Taxes)]]*ApprovedTimeReport_001_202485[[#This Row],[Time Actual]]</f>
        <v>440</v>
      </c>
      <c r="Q34" s="3">
        <v>0</v>
      </c>
      <c r="R34" s="3">
        <f>ApprovedTimeReport_001_202485[[#This Row],[BillingRate]]/0.8785</f>
        <v>0</v>
      </c>
      <c r="S34" s="3">
        <f>ApprovedTimeReport_001_202485[[#This Row],[BillingRate w/ Taxes]]*ApprovedTimeReport_001_202485[[#This Row],[Time Actual]]</f>
        <v>0</v>
      </c>
      <c r="T34" t="s">
        <v>25</v>
      </c>
      <c r="U34" s="2" t="str">
        <f>VLOOKUP(A:A,Vlookup!A:B,2,0)</f>
        <v>NB</v>
      </c>
    </row>
    <row r="35" spans="1:21" x14ac:dyDescent="0.25">
      <c r="A35" t="s">
        <v>30</v>
      </c>
      <c r="B35" s="1">
        <v>45519</v>
      </c>
      <c r="C35" s="1">
        <v>45538</v>
      </c>
      <c r="D35" t="s">
        <v>17</v>
      </c>
      <c r="E35">
        <v>2024</v>
      </c>
      <c r="F35">
        <v>8</v>
      </c>
      <c r="G35">
        <v>15</v>
      </c>
      <c r="H35">
        <v>33</v>
      </c>
      <c r="I35" s="3">
        <v>4</v>
      </c>
      <c r="J35" t="s">
        <v>43</v>
      </c>
      <c r="K35" t="s">
        <v>44</v>
      </c>
      <c r="L35" t="s">
        <v>18</v>
      </c>
      <c r="M35" t="s">
        <v>99</v>
      </c>
      <c r="N35" s="3">
        <v>99.83</v>
      </c>
      <c r="O35" s="3">
        <v>110</v>
      </c>
      <c r="P35" s="3">
        <f>ApprovedTimeReport_001_202485[[#This Row],[CostRate (w/ Taxes)]]*ApprovedTimeReport_001_202485[[#This Row],[Time Actual]]</f>
        <v>440</v>
      </c>
      <c r="Q35" s="3">
        <v>0</v>
      </c>
      <c r="R35" s="3">
        <f>ApprovedTimeReport_001_202485[[#This Row],[BillingRate]]/0.8785</f>
        <v>0</v>
      </c>
      <c r="S35" s="3">
        <f>ApprovedTimeReport_001_202485[[#This Row],[BillingRate w/ Taxes]]*ApprovedTimeReport_001_202485[[#This Row],[Time Actual]]</f>
        <v>0</v>
      </c>
      <c r="T35" t="s">
        <v>25</v>
      </c>
      <c r="U35" s="2" t="str">
        <f>VLOOKUP(A:A,Vlookup!A:B,2,0)</f>
        <v>NB</v>
      </c>
    </row>
    <row r="36" spans="1:21" x14ac:dyDescent="0.25">
      <c r="A36" t="s">
        <v>30</v>
      </c>
      <c r="B36" s="1">
        <v>45512</v>
      </c>
      <c r="C36" s="1">
        <v>45538</v>
      </c>
      <c r="D36" t="s">
        <v>17</v>
      </c>
      <c r="E36">
        <v>2024</v>
      </c>
      <c r="F36">
        <v>8</v>
      </c>
      <c r="G36">
        <v>8</v>
      </c>
      <c r="H36">
        <v>32</v>
      </c>
      <c r="I36" s="3">
        <v>2</v>
      </c>
      <c r="J36" t="s">
        <v>43</v>
      </c>
      <c r="K36" t="s">
        <v>44</v>
      </c>
      <c r="L36" t="s">
        <v>18</v>
      </c>
      <c r="M36" t="s">
        <v>113</v>
      </c>
      <c r="N36" s="3">
        <v>99.83</v>
      </c>
      <c r="O36" s="3">
        <v>110</v>
      </c>
      <c r="P36" s="3">
        <f>ApprovedTimeReport_001_202485[[#This Row],[CostRate (w/ Taxes)]]*ApprovedTimeReport_001_202485[[#This Row],[Time Actual]]</f>
        <v>220</v>
      </c>
      <c r="Q36" s="3">
        <v>0</v>
      </c>
      <c r="R36" s="3">
        <f>ApprovedTimeReport_001_202485[[#This Row],[BillingRate]]/0.8785</f>
        <v>0</v>
      </c>
      <c r="S36" s="3">
        <f>ApprovedTimeReport_001_202485[[#This Row],[BillingRate w/ Taxes]]*ApprovedTimeReport_001_202485[[#This Row],[Time Actual]]</f>
        <v>0</v>
      </c>
      <c r="T36" t="s">
        <v>25</v>
      </c>
      <c r="U36" s="2" t="str">
        <f>VLOOKUP(A:A,Vlookup!A:B,2,0)</f>
        <v>NB</v>
      </c>
    </row>
    <row r="37" spans="1:21" x14ac:dyDescent="0.25">
      <c r="A37" t="s">
        <v>30</v>
      </c>
      <c r="B37" s="1">
        <v>45510</v>
      </c>
      <c r="C37" s="1">
        <v>45538</v>
      </c>
      <c r="D37" t="s">
        <v>17</v>
      </c>
      <c r="E37">
        <v>2024</v>
      </c>
      <c r="F37">
        <v>8</v>
      </c>
      <c r="G37">
        <v>6</v>
      </c>
      <c r="H37">
        <v>32</v>
      </c>
      <c r="I37" s="3">
        <v>4</v>
      </c>
      <c r="J37" t="s">
        <v>43</v>
      </c>
      <c r="K37" t="s">
        <v>44</v>
      </c>
      <c r="L37" t="s">
        <v>18</v>
      </c>
      <c r="M37" t="s">
        <v>119</v>
      </c>
      <c r="N37" s="3">
        <v>99.83</v>
      </c>
      <c r="O37" s="3">
        <v>110</v>
      </c>
      <c r="P37" s="3">
        <f>ApprovedTimeReport_001_202485[[#This Row],[CostRate (w/ Taxes)]]*ApprovedTimeReport_001_202485[[#This Row],[Time Actual]]</f>
        <v>440</v>
      </c>
      <c r="Q37" s="3">
        <v>0</v>
      </c>
      <c r="R37" s="3">
        <f>ApprovedTimeReport_001_202485[[#This Row],[BillingRate]]/0.8785</f>
        <v>0</v>
      </c>
      <c r="S37" s="3">
        <f>ApprovedTimeReport_001_202485[[#This Row],[BillingRate w/ Taxes]]*ApprovedTimeReport_001_202485[[#This Row],[Time Actual]]</f>
        <v>0</v>
      </c>
      <c r="T37" t="s">
        <v>25</v>
      </c>
      <c r="U37" s="2" t="str">
        <f>VLOOKUP(A:A,Vlookup!A:B,2,0)</f>
        <v>NB</v>
      </c>
    </row>
    <row r="38" spans="1:21" x14ac:dyDescent="0.25">
      <c r="A38" t="s">
        <v>66</v>
      </c>
      <c r="B38" s="1">
        <v>45520</v>
      </c>
      <c r="C38" s="1">
        <v>45538</v>
      </c>
      <c r="D38" t="s">
        <v>17</v>
      </c>
      <c r="E38">
        <v>2024</v>
      </c>
      <c r="F38">
        <v>8</v>
      </c>
      <c r="G38">
        <v>16</v>
      </c>
      <c r="H38">
        <v>33</v>
      </c>
      <c r="I38" s="3">
        <v>6</v>
      </c>
      <c r="J38" t="s">
        <v>43</v>
      </c>
      <c r="K38" t="s">
        <v>44</v>
      </c>
      <c r="L38" t="s">
        <v>18</v>
      </c>
      <c r="M38" t="s">
        <v>96</v>
      </c>
      <c r="N38" s="3">
        <v>99.83</v>
      </c>
      <c r="O38" s="3">
        <v>110</v>
      </c>
      <c r="P38" s="3">
        <f>ApprovedTimeReport_001_202485[[#This Row],[CostRate (w/ Taxes)]]*ApprovedTimeReport_001_202485[[#This Row],[Time Actual]]</f>
        <v>660</v>
      </c>
      <c r="Q38" s="3">
        <v>0</v>
      </c>
      <c r="R38" s="3">
        <f>ApprovedTimeReport_001_202485[[#This Row],[BillingRate]]/0.8785</f>
        <v>0</v>
      </c>
      <c r="S38" s="3">
        <f>ApprovedTimeReport_001_202485[[#This Row],[BillingRate w/ Taxes]]*ApprovedTimeReport_001_202485[[#This Row],[Time Actual]]</f>
        <v>0</v>
      </c>
      <c r="T38" t="s">
        <v>25</v>
      </c>
      <c r="U38" s="2" t="str">
        <f>VLOOKUP(A:A,Vlookup!A:B,2,0)</f>
        <v>NB</v>
      </c>
    </row>
    <row r="39" spans="1:21" x14ac:dyDescent="0.25">
      <c r="A39" t="s">
        <v>125</v>
      </c>
      <c r="B39" s="1">
        <v>45505</v>
      </c>
      <c r="C39" s="1">
        <v>45538</v>
      </c>
      <c r="D39" t="s">
        <v>17</v>
      </c>
      <c r="E39">
        <v>2024</v>
      </c>
      <c r="F39">
        <v>8</v>
      </c>
      <c r="G39">
        <v>1</v>
      </c>
      <c r="H39">
        <v>31</v>
      </c>
      <c r="I39" s="3">
        <v>4</v>
      </c>
      <c r="J39" t="s">
        <v>43</v>
      </c>
      <c r="K39" t="s">
        <v>44</v>
      </c>
      <c r="L39" t="s">
        <v>18</v>
      </c>
      <c r="M39" t="s">
        <v>126</v>
      </c>
      <c r="N39" s="3">
        <v>157</v>
      </c>
      <c r="O39" s="3">
        <f>ApprovedTimeReport_001_202485[[#This Row],[CostRate]]/0.9075</f>
        <v>173.00275482093664</v>
      </c>
      <c r="P39" s="3">
        <f>ApprovedTimeReport_001_202485[[#This Row],[CostRate (w/ Taxes)]]*ApprovedTimeReport_001_202485[[#This Row],[Time Actual]]</f>
        <v>692.01101928374658</v>
      </c>
      <c r="Q39" s="3">
        <v>0</v>
      </c>
      <c r="R39" s="3">
        <f>ApprovedTimeReport_001_202485[[#This Row],[BillingRate]]/0.8785</f>
        <v>0</v>
      </c>
      <c r="S39" s="3">
        <f>ApprovedTimeReport_001_202485[[#This Row],[BillingRate w/ Taxes]]*ApprovedTimeReport_001_202485[[#This Row],[Time Actual]]</f>
        <v>0</v>
      </c>
      <c r="T39" t="s">
        <v>25</v>
      </c>
      <c r="U39" s="2" t="str">
        <f>VLOOKUP(A:A,Vlookup!A:B,2,0)</f>
        <v>NB</v>
      </c>
    </row>
    <row r="40" spans="1:21" x14ac:dyDescent="0.25">
      <c r="A40" t="s">
        <v>40</v>
      </c>
      <c r="B40" s="1">
        <v>45532</v>
      </c>
      <c r="C40" s="1">
        <v>45538</v>
      </c>
      <c r="D40" t="s">
        <v>17</v>
      </c>
      <c r="E40">
        <v>2024</v>
      </c>
      <c r="F40">
        <v>8</v>
      </c>
      <c r="G40">
        <v>28</v>
      </c>
      <c r="H40">
        <v>35</v>
      </c>
      <c r="I40" s="3">
        <v>1</v>
      </c>
      <c r="J40" t="s">
        <v>43</v>
      </c>
      <c r="K40" t="s">
        <v>44</v>
      </c>
      <c r="L40" t="s">
        <v>28</v>
      </c>
      <c r="M40" t="s">
        <v>69</v>
      </c>
      <c r="N40" s="3">
        <v>86.43</v>
      </c>
      <c r="O40" s="3">
        <f>ApprovedTimeReport_001_202485[[#This Row],[CostRate]]/0.9075</f>
        <v>95.239669421487619</v>
      </c>
      <c r="P40" s="3">
        <f>ApprovedTimeReport_001_202485[[#This Row],[CostRate (w/ Taxes)]]*ApprovedTimeReport_001_202485[[#This Row],[Time Actual]]</f>
        <v>95.239669421487619</v>
      </c>
      <c r="Q40" s="3">
        <v>0</v>
      </c>
      <c r="R40" s="3">
        <f>ApprovedTimeReport_001_202485[[#This Row],[BillingRate]]/0.8785</f>
        <v>0</v>
      </c>
      <c r="S40" s="3">
        <f>ApprovedTimeReport_001_202485[[#This Row],[BillingRate w/ Taxes]]*ApprovedTimeReport_001_202485[[#This Row],[Time Actual]]</f>
        <v>0</v>
      </c>
      <c r="T40" t="s">
        <v>25</v>
      </c>
      <c r="U40" s="2" t="str">
        <f>VLOOKUP(A:A,Vlookup!A:B,2,0)</f>
        <v>NB</v>
      </c>
    </row>
    <row r="41" spans="1:21" x14ac:dyDescent="0.25">
      <c r="A41" t="s">
        <v>40</v>
      </c>
      <c r="B41" s="1">
        <v>45531</v>
      </c>
      <c r="C41" s="1">
        <v>45538</v>
      </c>
      <c r="D41" t="s">
        <v>17</v>
      </c>
      <c r="E41">
        <v>2024</v>
      </c>
      <c r="F41">
        <v>8</v>
      </c>
      <c r="G41">
        <v>27</v>
      </c>
      <c r="H41">
        <v>35</v>
      </c>
      <c r="I41" s="3">
        <v>1</v>
      </c>
      <c r="J41" t="s">
        <v>43</v>
      </c>
      <c r="K41" t="s">
        <v>44</v>
      </c>
      <c r="L41" t="s">
        <v>28</v>
      </c>
      <c r="M41" t="s">
        <v>76</v>
      </c>
      <c r="N41" s="3">
        <v>86.43</v>
      </c>
      <c r="O41" s="3">
        <f>ApprovedTimeReport_001_202485[[#This Row],[CostRate]]/0.9075</f>
        <v>95.239669421487619</v>
      </c>
      <c r="P41" s="3">
        <f>ApprovedTimeReport_001_202485[[#This Row],[CostRate (w/ Taxes)]]*ApprovedTimeReport_001_202485[[#This Row],[Time Actual]]</f>
        <v>95.239669421487619</v>
      </c>
      <c r="Q41" s="3">
        <v>0</v>
      </c>
      <c r="R41" s="3">
        <f>ApprovedTimeReport_001_202485[[#This Row],[BillingRate]]/0.8785</f>
        <v>0</v>
      </c>
      <c r="S41" s="3">
        <f>ApprovedTimeReport_001_202485[[#This Row],[BillingRate w/ Taxes]]*ApprovedTimeReport_001_202485[[#This Row],[Time Actual]]</f>
        <v>0</v>
      </c>
      <c r="T41" t="s">
        <v>25</v>
      </c>
      <c r="U41" s="2" t="str">
        <f>VLOOKUP(A:A,Vlookup!A:B,2,0)</f>
        <v>NB</v>
      </c>
    </row>
    <row r="42" spans="1:21" x14ac:dyDescent="0.25">
      <c r="A42" t="s">
        <v>40</v>
      </c>
      <c r="B42" s="1">
        <v>45518</v>
      </c>
      <c r="C42" s="1">
        <v>45538</v>
      </c>
      <c r="D42" t="s">
        <v>17</v>
      </c>
      <c r="E42">
        <v>2024</v>
      </c>
      <c r="F42">
        <v>8</v>
      </c>
      <c r="G42">
        <v>14</v>
      </c>
      <c r="H42">
        <v>33</v>
      </c>
      <c r="I42" s="3">
        <v>1</v>
      </c>
      <c r="J42" t="s">
        <v>43</v>
      </c>
      <c r="K42" t="s">
        <v>44</v>
      </c>
      <c r="L42" t="s">
        <v>28</v>
      </c>
      <c r="M42" t="s">
        <v>101</v>
      </c>
      <c r="N42" s="3">
        <v>86.43</v>
      </c>
      <c r="O42" s="3">
        <f>ApprovedTimeReport_001_202485[[#This Row],[CostRate]]/0.9075</f>
        <v>95.239669421487619</v>
      </c>
      <c r="P42" s="3">
        <f>ApprovedTimeReport_001_202485[[#This Row],[CostRate (w/ Taxes)]]*ApprovedTimeReport_001_202485[[#This Row],[Time Actual]]</f>
        <v>95.239669421487619</v>
      </c>
      <c r="Q42" s="3">
        <v>0</v>
      </c>
      <c r="R42" s="3">
        <f>ApprovedTimeReport_001_202485[[#This Row],[BillingRate]]/0.8785</f>
        <v>0</v>
      </c>
      <c r="S42" s="3">
        <f>ApprovedTimeReport_001_202485[[#This Row],[BillingRate w/ Taxes]]*ApprovedTimeReport_001_202485[[#This Row],[Time Actual]]</f>
        <v>0</v>
      </c>
      <c r="T42" t="s">
        <v>25</v>
      </c>
      <c r="U42" s="2" t="str">
        <f>VLOOKUP(A:A,Vlookup!A:B,2,0)</f>
        <v>NB</v>
      </c>
    </row>
    <row r="43" spans="1:21" x14ac:dyDescent="0.25">
      <c r="A43" t="s">
        <v>40</v>
      </c>
      <c r="B43" s="1">
        <v>45517</v>
      </c>
      <c r="C43" s="1">
        <v>45538</v>
      </c>
      <c r="D43" t="s">
        <v>17</v>
      </c>
      <c r="E43">
        <v>2024</v>
      </c>
      <c r="F43">
        <v>8</v>
      </c>
      <c r="G43">
        <v>13</v>
      </c>
      <c r="H43">
        <v>33</v>
      </c>
      <c r="I43" s="3">
        <v>1</v>
      </c>
      <c r="J43" t="s">
        <v>43</v>
      </c>
      <c r="K43" t="s">
        <v>44</v>
      </c>
      <c r="L43" t="s">
        <v>28</v>
      </c>
      <c r="M43" t="s">
        <v>108</v>
      </c>
      <c r="N43" s="3">
        <v>86.43</v>
      </c>
      <c r="O43" s="3">
        <f>ApprovedTimeReport_001_202485[[#This Row],[CostRate]]/0.9075</f>
        <v>95.239669421487619</v>
      </c>
      <c r="P43" s="3">
        <f>ApprovedTimeReport_001_202485[[#This Row],[CostRate (w/ Taxes)]]*ApprovedTimeReport_001_202485[[#This Row],[Time Actual]]</f>
        <v>95.239669421487619</v>
      </c>
      <c r="Q43" s="3">
        <v>0</v>
      </c>
      <c r="R43" s="3">
        <f>ApprovedTimeReport_001_202485[[#This Row],[BillingRate]]/0.8785</f>
        <v>0</v>
      </c>
      <c r="S43" s="3">
        <f>ApprovedTimeReport_001_202485[[#This Row],[BillingRate w/ Taxes]]*ApprovedTimeReport_001_202485[[#This Row],[Time Actual]]</f>
        <v>0</v>
      </c>
      <c r="T43" t="s">
        <v>25</v>
      </c>
      <c r="U43" s="2" t="str">
        <f>VLOOKUP(A:A,Vlookup!A:B,2,0)</f>
        <v>NB</v>
      </c>
    </row>
    <row r="44" spans="1:21" x14ac:dyDescent="0.25">
      <c r="B44" s="1"/>
      <c r="C44" s="1"/>
      <c r="U44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6068-7BB6-4578-8B50-14A022995556}">
  <dimension ref="A1:B96"/>
  <sheetViews>
    <sheetView topLeftCell="A59" workbookViewId="0">
      <selection activeCell="B97" sqref="B97"/>
    </sheetView>
  </sheetViews>
  <sheetFormatPr defaultRowHeight="15" x14ac:dyDescent="0.25"/>
  <cols>
    <col min="1" max="1" width="22.28515625" bestFit="1" customWidth="1"/>
    <col min="2" max="2" width="11.140625" bestFit="1" customWidth="1"/>
  </cols>
  <sheetData>
    <row r="1" spans="1:2" x14ac:dyDescent="0.25">
      <c r="A1" t="s">
        <v>0</v>
      </c>
      <c r="B1" t="s">
        <v>132</v>
      </c>
    </row>
    <row r="2" spans="1:2" x14ac:dyDescent="0.25">
      <c r="A2" t="s">
        <v>133</v>
      </c>
      <c r="B2" t="s">
        <v>134</v>
      </c>
    </row>
    <row r="3" spans="1:2" x14ac:dyDescent="0.25">
      <c r="A3" t="s">
        <v>135</v>
      </c>
      <c r="B3" t="s">
        <v>134</v>
      </c>
    </row>
    <row r="4" spans="1:2" x14ac:dyDescent="0.25">
      <c r="A4" t="s">
        <v>136</v>
      </c>
      <c r="B4" t="s">
        <v>134</v>
      </c>
    </row>
    <row r="5" spans="1:2" x14ac:dyDescent="0.25">
      <c r="A5" t="s">
        <v>137</v>
      </c>
      <c r="B5" t="s">
        <v>134</v>
      </c>
    </row>
    <row r="6" spans="1:2" x14ac:dyDescent="0.25">
      <c r="A6" t="s">
        <v>138</v>
      </c>
      <c r="B6" t="s">
        <v>139</v>
      </c>
    </row>
    <row r="7" spans="1:2" x14ac:dyDescent="0.25">
      <c r="A7" t="s">
        <v>140</v>
      </c>
      <c r="B7" t="s">
        <v>134</v>
      </c>
    </row>
    <row r="8" spans="1:2" x14ac:dyDescent="0.25">
      <c r="A8" t="s">
        <v>118</v>
      </c>
      <c r="B8" t="s">
        <v>134</v>
      </c>
    </row>
    <row r="9" spans="1:2" x14ac:dyDescent="0.25">
      <c r="A9" t="s">
        <v>33</v>
      </c>
      <c r="B9" t="s">
        <v>134</v>
      </c>
    </row>
    <row r="10" spans="1:2" x14ac:dyDescent="0.25">
      <c r="A10" t="s">
        <v>84</v>
      </c>
      <c r="B10" t="s">
        <v>141</v>
      </c>
    </row>
    <row r="11" spans="1:2" x14ac:dyDescent="0.25">
      <c r="A11" t="s">
        <v>85</v>
      </c>
      <c r="B11" t="s">
        <v>141</v>
      </c>
    </row>
    <row r="12" spans="1:2" x14ac:dyDescent="0.25">
      <c r="A12" t="s">
        <v>19</v>
      </c>
      <c r="B12" t="s">
        <v>141</v>
      </c>
    </row>
    <row r="13" spans="1:2" x14ac:dyDescent="0.25">
      <c r="A13" t="s">
        <v>142</v>
      </c>
      <c r="B13" t="s">
        <v>134</v>
      </c>
    </row>
    <row r="14" spans="1:2" x14ac:dyDescent="0.25">
      <c r="A14" t="s">
        <v>60</v>
      </c>
      <c r="B14" t="s">
        <v>134</v>
      </c>
    </row>
    <row r="15" spans="1:2" x14ac:dyDescent="0.25">
      <c r="A15" t="s">
        <v>143</v>
      </c>
      <c r="B15" t="s">
        <v>134</v>
      </c>
    </row>
    <row r="16" spans="1:2" x14ac:dyDescent="0.25">
      <c r="A16" t="s">
        <v>36</v>
      </c>
      <c r="B16" t="s">
        <v>141</v>
      </c>
    </row>
    <row r="17" spans="1:2" x14ac:dyDescent="0.25">
      <c r="A17" t="s">
        <v>105</v>
      </c>
      <c r="B17" t="s">
        <v>134</v>
      </c>
    </row>
    <row r="18" spans="1:2" x14ac:dyDescent="0.25">
      <c r="A18" t="s">
        <v>117</v>
      </c>
      <c r="B18" t="s">
        <v>134</v>
      </c>
    </row>
    <row r="19" spans="1:2" x14ac:dyDescent="0.25">
      <c r="A19" t="s">
        <v>31</v>
      </c>
      <c r="B19" t="s">
        <v>134</v>
      </c>
    </row>
    <row r="20" spans="1:2" x14ac:dyDescent="0.25">
      <c r="A20" t="s">
        <v>144</v>
      </c>
      <c r="B20" t="s">
        <v>141</v>
      </c>
    </row>
    <row r="21" spans="1:2" x14ac:dyDescent="0.25">
      <c r="A21" t="s">
        <v>145</v>
      </c>
      <c r="B21" t="s">
        <v>134</v>
      </c>
    </row>
    <row r="22" spans="1:2" x14ac:dyDescent="0.25">
      <c r="A22" t="s">
        <v>55</v>
      </c>
      <c r="B22" t="s">
        <v>141</v>
      </c>
    </row>
    <row r="23" spans="1:2" x14ac:dyDescent="0.25">
      <c r="A23" t="s">
        <v>146</v>
      </c>
      <c r="B23" t="s">
        <v>141</v>
      </c>
    </row>
    <row r="24" spans="1:2" x14ac:dyDescent="0.25">
      <c r="A24" t="s">
        <v>147</v>
      </c>
      <c r="B24" t="s">
        <v>141</v>
      </c>
    </row>
    <row r="25" spans="1:2" x14ac:dyDescent="0.25">
      <c r="A25" t="s">
        <v>148</v>
      </c>
      <c r="B25" t="s">
        <v>134</v>
      </c>
    </row>
    <row r="26" spans="1:2" x14ac:dyDescent="0.25">
      <c r="A26" t="s">
        <v>149</v>
      </c>
      <c r="B26" t="s">
        <v>141</v>
      </c>
    </row>
    <row r="27" spans="1:2" x14ac:dyDescent="0.25">
      <c r="A27" t="s">
        <v>29</v>
      </c>
      <c r="B27" t="s">
        <v>134</v>
      </c>
    </row>
    <row r="28" spans="1:2" x14ac:dyDescent="0.25">
      <c r="A28" t="s">
        <v>47</v>
      </c>
      <c r="B28" t="s">
        <v>141</v>
      </c>
    </row>
    <row r="29" spans="1:2" x14ac:dyDescent="0.25">
      <c r="A29" t="s">
        <v>74</v>
      </c>
      <c r="B29" t="s">
        <v>141</v>
      </c>
    </row>
    <row r="30" spans="1:2" x14ac:dyDescent="0.25">
      <c r="A30" t="s">
        <v>150</v>
      </c>
      <c r="B30" t="s">
        <v>134</v>
      </c>
    </row>
    <row r="31" spans="1:2" x14ac:dyDescent="0.25">
      <c r="A31" t="s">
        <v>151</v>
      </c>
      <c r="B31" t="s">
        <v>141</v>
      </c>
    </row>
    <row r="32" spans="1:2" x14ac:dyDescent="0.25">
      <c r="A32" t="s">
        <v>152</v>
      </c>
      <c r="B32" t="s">
        <v>141</v>
      </c>
    </row>
    <row r="33" spans="1:2" x14ac:dyDescent="0.25">
      <c r="A33" t="s">
        <v>153</v>
      </c>
      <c r="B33" t="s">
        <v>141</v>
      </c>
    </row>
    <row r="34" spans="1:2" x14ac:dyDescent="0.25">
      <c r="A34" t="s">
        <v>59</v>
      </c>
      <c r="B34" t="s">
        <v>134</v>
      </c>
    </row>
    <row r="35" spans="1:2" x14ac:dyDescent="0.25">
      <c r="A35" t="s">
        <v>154</v>
      </c>
      <c r="B35" t="s">
        <v>141</v>
      </c>
    </row>
    <row r="36" spans="1:2" x14ac:dyDescent="0.25">
      <c r="A36" t="s">
        <v>16</v>
      </c>
      <c r="B36" t="s">
        <v>141</v>
      </c>
    </row>
    <row r="37" spans="1:2" x14ac:dyDescent="0.25">
      <c r="A37" t="s">
        <v>63</v>
      </c>
      <c r="B37" t="s">
        <v>139</v>
      </c>
    </row>
    <row r="38" spans="1:2" x14ac:dyDescent="0.25">
      <c r="A38" t="s">
        <v>155</v>
      </c>
      <c r="B38" t="s">
        <v>139</v>
      </c>
    </row>
    <row r="39" spans="1:2" x14ac:dyDescent="0.25">
      <c r="A39" t="s">
        <v>38</v>
      </c>
      <c r="B39" t="s">
        <v>139</v>
      </c>
    </row>
    <row r="40" spans="1:2" x14ac:dyDescent="0.25">
      <c r="A40" t="s">
        <v>37</v>
      </c>
      <c r="B40" t="s">
        <v>139</v>
      </c>
    </row>
    <row r="41" spans="1:2" x14ac:dyDescent="0.25">
      <c r="A41" t="s">
        <v>156</v>
      </c>
      <c r="B41" t="s">
        <v>139</v>
      </c>
    </row>
    <row r="42" spans="1:2" x14ac:dyDescent="0.25">
      <c r="A42" t="s">
        <v>157</v>
      </c>
      <c r="B42" t="s">
        <v>139</v>
      </c>
    </row>
    <row r="43" spans="1:2" x14ac:dyDescent="0.25">
      <c r="A43" t="s">
        <v>50</v>
      </c>
      <c r="B43" t="s">
        <v>139</v>
      </c>
    </row>
    <row r="44" spans="1:2" x14ac:dyDescent="0.25">
      <c r="A44" t="s">
        <v>53</v>
      </c>
      <c r="B44" t="s">
        <v>139</v>
      </c>
    </row>
    <row r="45" spans="1:2" x14ac:dyDescent="0.25">
      <c r="A45" t="s">
        <v>41</v>
      </c>
      <c r="B45" t="s">
        <v>139</v>
      </c>
    </row>
    <row r="46" spans="1:2" x14ac:dyDescent="0.25">
      <c r="A46" t="s">
        <v>40</v>
      </c>
      <c r="B46" t="s">
        <v>139</v>
      </c>
    </row>
    <row r="47" spans="1:2" x14ac:dyDescent="0.25">
      <c r="A47" t="s">
        <v>65</v>
      </c>
      <c r="B47" t="s">
        <v>139</v>
      </c>
    </row>
    <row r="48" spans="1:2" x14ac:dyDescent="0.25">
      <c r="A48" t="s">
        <v>158</v>
      </c>
      <c r="B48" t="s">
        <v>139</v>
      </c>
    </row>
    <row r="49" spans="1:2" x14ac:dyDescent="0.25">
      <c r="A49" t="s">
        <v>51</v>
      </c>
      <c r="B49" t="s">
        <v>139</v>
      </c>
    </row>
    <row r="50" spans="1:2" x14ac:dyDescent="0.25">
      <c r="A50" t="s">
        <v>54</v>
      </c>
      <c r="B50" t="s">
        <v>139</v>
      </c>
    </row>
    <row r="51" spans="1:2" x14ac:dyDescent="0.25">
      <c r="A51" t="s">
        <v>52</v>
      </c>
      <c r="B51" t="s">
        <v>139</v>
      </c>
    </row>
    <row r="52" spans="1:2" x14ac:dyDescent="0.25">
      <c r="A52" t="s">
        <v>20</v>
      </c>
      <c r="B52" t="s">
        <v>134</v>
      </c>
    </row>
    <row r="53" spans="1:2" x14ac:dyDescent="0.25">
      <c r="A53" t="s">
        <v>92</v>
      </c>
      <c r="B53" t="s">
        <v>141</v>
      </c>
    </row>
    <row r="54" spans="1:2" x14ac:dyDescent="0.25">
      <c r="A54" t="s">
        <v>159</v>
      </c>
      <c r="B54" t="s">
        <v>134</v>
      </c>
    </row>
    <row r="55" spans="1:2" x14ac:dyDescent="0.25">
      <c r="A55" t="s">
        <v>160</v>
      </c>
      <c r="B55" t="s">
        <v>141</v>
      </c>
    </row>
    <row r="56" spans="1:2" x14ac:dyDescent="0.25">
      <c r="A56" t="s">
        <v>161</v>
      </c>
      <c r="B56" t="s">
        <v>134</v>
      </c>
    </row>
    <row r="57" spans="1:2" x14ac:dyDescent="0.25">
      <c r="A57" t="s">
        <v>39</v>
      </c>
      <c r="B57" t="s">
        <v>141</v>
      </c>
    </row>
    <row r="58" spans="1:2" x14ac:dyDescent="0.25">
      <c r="A58" t="s">
        <v>68</v>
      </c>
      <c r="B58" t="s">
        <v>141</v>
      </c>
    </row>
    <row r="59" spans="1:2" x14ac:dyDescent="0.25">
      <c r="A59" t="s">
        <v>162</v>
      </c>
      <c r="B59" t="s">
        <v>141</v>
      </c>
    </row>
    <row r="60" spans="1:2" x14ac:dyDescent="0.25">
      <c r="A60" t="s">
        <v>163</v>
      </c>
      <c r="B60" t="s">
        <v>141</v>
      </c>
    </row>
    <row r="61" spans="1:2" x14ac:dyDescent="0.25">
      <c r="A61" t="s">
        <v>164</v>
      </c>
      <c r="B61" t="s">
        <v>141</v>
      </c>
    </row>
    <row r="62" spans="1:2" x14ac:dyDescent="0.25">
      <c r="A62" t="s">
        <v>165</v>
      </c>
      <c r="B62" t="s">
        <v>139</v>
      </c>
    </row>
    <row r="63" spans="1:2" x14ac:dyDescent="0.25">
      <c r="A63" t="s">
        <v>30</v>
      </c>
      <c r="B63" t="s">
        <v>139</v>
      </c>
    </row>
    <row r="64" spans="1:2" x14ac:dyDescent="0.25">
      <c r="A64" t="s">
        <v>66</v>
      </c>
      <c r="B64" t="s">
        <v>139</v>
      </c>
    </row>
    <row r="65" spans="1:2" x14ac:dyDescent="0.25">
      <c r="A65" t="s">
        <v>125</v>
      </c>
      <c r="B65" t="s">
        <v>139</v>
      </c>
    </row>
    <row r="66" spans="1:2" x14ac:dyDescent="0.25">
      <c r="A66" t="s">
        <v>62</v>
      </c>
      <c r="B66" t="s">
        <v>139</v>
      </c>
    </row>
    <row r="67" spans="1:2" x14ac:dyDescent="0.25">
      <c r="A67" t="s">
        <v>166</v>
      </c>
      <c r="B67" t="s">
        <v>141</v>
      </c>
    </row>
    <row r="68" spans="1:2" x14ac:dyDescent="0.25">
      <c r="A68" t="s">
        <v>81</v>
      </c>
      <c r="B68" t="s">
        <v>141</v>
      </c>
    </row>
    <row r="69" spans="1:2" x14ac:dyDescent="0.25">
      <c r="A69" t="s">
        <v>26</v>
      </c>
      <c r="B69" t="s">
        <v>134</v>
      </c>
    </row>
    <row r="70" spans="1:2" x14ac:dyDescent="0.25">
      <c r="A70" t="s">
        <v>23</v>
      </c>
      <c r="B70" t="s">
        <v>134</v>
      </c>
    </row>
    <row r="71" spans="1:2" x14ac:dyDescent="0.25">
      <c r="A71" t="s">
        <v>167</v>
      </c>
      <c r="B71" t="s">
        <v>141</v>
      </c>
    </row>
    <row r="72" spans="1:2" x14ac:dyDescent="0.25">
      <c r="A72" t="s">
        <v>122</v>
      </c>
      <c r="B72" t="s">
        <v>141</v>
      </c>
    </row>
    <row r="73" spans="1:2" x14ac:dyDescent="0.25">
      <c r="A73" t="s">
        <v>168</v>
      </c>
      <c r="B73" t="s">
        <v>141</v>
      </c>
    </row>
    <row r="74" spans="1:2" x14ac:dyDescent="0.25">
      <c r="A74" t="s">
        <v>78</v>
      </c>
      <c r="B74" t="s">
        <v>141</v>
      </c>
    </row>
    <row r="75" spans="1:2" x14ac:dyDescent="0.25">
      <c r="A75" t="s">
        <v>90</v>
      </c>
      <c r="B75" t="s">
        <v>141</v>
      </c>
    </row>
    <row r="76" spans="1:2" x14ac:dyDescent="0.25">
      <c r="A76" t="s">
        <v>169</v>
      </c>
      <c r="B76" t="s">
        <v>141</v>
      </c>
    </row>
    <row r="77" spans="1:2" x14ac:dyDescent="0.25">
      <c r="A77" t="s">
        <v>67</v>
      </c>
      <c r="B77" t="s">
        <v>139</v>
      </c>
    </row>
    <row r="78" spans="1:2" x14ac:dyDescent="0.25">
      <c r="A78" t="s">
        <v>21</v>
      </c>
      <c r="B78" t="s">
        <v>134</v>
      </c>
    </row>
    <row r="79" spans="1:2" x14ac:dyDescent="0.25">
      <c r="A79" t="s">
        <v>170</v>
      </c>
      <c r="B79" t="s">
        <v>141</v>
      </c>
    </row>
    <row r="80" spans="1:2" x14ac:dyDescent="0.25">
      <c r="A80" t="s">
        <v>171</v>
      </c>
      <c r="B80" t="s">
        <v>141</v>
      </c>
    </row>
    <row r="81" spans="1:2" x14ac:dyDescent="0.25">
      <c r="A81" t="s">
        <v>22</v>
      </c>
      <c r="B81" t="s">
        <v>134</v>
      </c>
    </row>
    <row r="82" spans="1:2" x14ac:dyDescent="0.25">
      <c r="A82" t="s">
        <v>56</v>
      </c>
      <c r="B82" t="s">
        <v>134</v>
      </c>
    </row>
    <row r="83" spans="1:2" x14ac:dyDescent="0.25">
      <c r="A83" t="s">
        <v>172</v>
      </c>
      <c r="B83" t="s">
        <v>141</v>
      </c>
    </row>
    <row r="84" spans="1:2" x14ac:dyDescent="0.25">
      <c r="A84" t="s">
        <v>72</v>
      </c>
      <c r="B84" t="s">
        <v>139</v>
      </c>
    </row>
    <row r="85" spans="1:2" x14ac:dyDescent="0.25">
      <c r="A85" t="s">
        <v>124</v>
      </c>
      <c r="B85" t="s">
        <v>139</v>
      </c>
    </row>
    <row r="86" spans="1:2" x14ac:dyDescent="0.25">
      <c r="A86" t="s">
        <v>49</v>
      </c>
      <c r="B86" t="s">
        <v>139</v>
      </c>
    </row>
    <row r="87" spans="1:2" x14ac:dyDescent="0.25">
      <c r="A87" t="s">
        <v>110</v>
      </c>
      <c r="B87" t="s">
        <v>141</v>
      </c>
    </row>
    <row r="88" spans="1:2" x14ac:dyDescent="0.25">
      <c r="A88" t="s">
        <v>115</v>
      </c>
      <c r="B88" t="s">
        <v>141</v>
      </c>
    </row>
    <row r="89" spans="1:2" x14ac:dyDescent="0.25">
      <c r="A89" t="s">
        <v>46</v>
      </c>
      <c r="B89" t="s">
        <v>134</v>
      </c>
    </row>
    <row r="90" spans="1:2" x14ac:dyDescent="0.25">
      <c r="A90" t="s">
        <v>98</v>
      </c>
      <c r="B90" t="s">
        <v>134</v>
      </c>
    </row>
    <row r="91" spans="1:2" x14ac:dyDescent="0.25">
      <c r="A91" t="s">
        <v>57</v>
      </c>
      <c r="B91" t="s">
        <v>134</v>
      </c>
    </row>
    <row r="92" spans="1:2" x14ac:dyDescent="0.25">
      <c r="A92" t="s">
        <v>24</v>
      </c>
      <c r="B92" t="s">
        <v>139</v>
      </c>
    </row>
    <row r="93" spans="1:2" x14ac:dyDescent="0.25">
      <c r="A93" t="s">
        <v>48</v>
      </c>
      <c r="B93" t="s">
        <v>139</v>
      </c>
    </row>
    <row r="94" spans="1:2" x14ac:dyDescent="0.25">
      <c r="A94" t="s">
        <v>106</v>
      </c>
      <c r="B94" t="s">
        <v>139</v>
      </c>
    </row>
    <row r="95" spans="1:2" x14ac:dyDescent="0.25">
      <c r="A95" t="s">
        <v>73</v>
      </c>
      <c r="B95" t="s">
        <v>139</v>
      </c>
    </row>
    <row r="96" spans="1:2" x14ac:dyDescent="0.25">
      <c r="A96" t="s">
        <v>82</v>
      </c>
      <c r="B96" t="s">
        <v>141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3C70B5-3EC9-4E40-A5EF-C5FC869376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Summary</vt:lpstr>
      <vt:lpstr>Agosto 2024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Miranda</dc:creator>
  <cp:lastModifiedBy>Beatriz Melo</cp:lastModifiedBy>
  <dcterms:created xsi:type="dcterms:W3CDTF">2024-09-05T13:22:38Z</dcterms:created>
  <dcterms:modified xsi:type="dcterms:W3CDTF">2024-09-06T13:25:09Z</dcterms:modified>
</cp:coreProperties>
</file>