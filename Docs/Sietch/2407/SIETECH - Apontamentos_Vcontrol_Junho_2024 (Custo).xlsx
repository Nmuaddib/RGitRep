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Maio-24\"/>
    </mc:Choice>
  </mc:AlternateContent>
  <xr:revisionPtr revIDLastSave="0" documentId="8_{385A286B-8BC2-4F03-AF5E-23DD0C0DD635}" xr6:coauthVersionLast="47" xr6:coauthVersionMax="47" xr10:uidLastSave="{00000000-0000-0000-0000-000000000000}"/>
  <bookViews>
    <workbookView xWindow="-113" yWindow="-113" windowWidth="24267" windowHeight="13023" xr2:uid="{E2BAED67-E2E2-4610-9139-60D8B09D5489}"/>
  </bookViews>
  <sheets>
    <sheet name="Summary" sheetId="3" r:id="rId1"/>
    <sheet name="Junho 2024" sheetId="2" r:id="rId2"/>
    <sheet name="Vlookup" sheetId="1" r:id="rId3"/>
  </sheets>
  <definedNames>
    <definedName name="DadosExternos_1" localSheetId="1" hidden="1">'Junho 2024'!$A$1:$R$47</definedName>
  </definedNames>
  <calcPr calcId="191029"/>
  <pivotCaches>
    <pivotCache cacheId="19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2" l="1"/>
  <c r="P46" i="2" s="1"/>
  <c r="R46" i="2"/>
  <c r="O47" i="2"/>
  <c r="P47" i="2" s="1"/>
  <c r="R47" i="2"/>
  <c r="P14" i="2"/>
  <c r="R14" i="2"/>
  <c r="P15" i="2"/>
  <c r="R15" i="2"/>
  <c r="P16" i="2"/>
  <c r="R16" i="2"/>
  <c r="P17" i="2"/>
  <c r="R17" i="2"/>
  <c r="P18" i="2"/>
  <c r="R18" i="2"/>
  <c r="P19" i="2"/>
  <c r="R19" i="2"/>
  <c r="P20" i="2"/>
  <c r="R20" i="2"/>
  <c r="P21" i="2"/>
  <c r="R21" i="2"/>
  <c r="P22" i="2"/>
  <c r="R22" i="2"/>
  <c r="P23" i="2"/>
  <c r="R23" i="2"/>
  <c r="P24" i="2"/>
  <c r="R24" i="2"/>
  <c r="P25" i="2"/>
  <c r="R25" i="2"/>
  <c r="P26" i="2"/>
  <c r="R26" i="2"/>
  <c r="P27" i="2"/>
  <c r="R27" i="2"/>
  <c r="P28" i="2"/>
  <c r="R28" i="2"/>
  <c r="P29" i="2"/>
  <c r="R29" i="2"/>
  <c r="P30" i="2"/>
  <c r="R30" i="2"/>
  <c r="P31" i="2"/>
  <c r="R31" i="2"/>
  <c r="P32" i="2"/>
  <c r="R32" i="2"/>
  <c r="P33" i="2"/>
  <c r="R33" i="2"/>
  <c r="P34" i="2"/>
  <c r="R34" i="2"/>
  <c r="P35" i="2"/>
  <c r="R35" i="2"/>
  <c r="P36" i="2"/>
  <c r="R36" i="2"/>
  <c r="P37" i="2"/>
  <c r="R37" i="2"/>
  <c r="P38" i="2"/>
  <c r="R38" i="2"/>
  <c r="P39" i="2"/>
  <c r="R39" i="2"/>
  <c r="P40" i="2"/>
  <c r="R40" i="2"/>
  <c r="P41" i="2"/>
  <c r="R41" i="2"/>
  <c r="P42" i="2"/>
  <c r="R42" i="2"/>
  <c r="P43" i="2"/>
  <c r="R43" i="2"/>
  <c r="O44" i="2"/>
  <c r="P44" i="2" s="1"/>
  <c r="R44" i="2"/>
  <c r="O45" i="2"/>
  <c r="P45" i="2"/>
  <c r="R45" i="2"/>
  <c r="O13" i="2"/>
  <c r="P13" i="2" s="1"/>
  <c r="R13" i="2"/>
  <c r="O10" i="2"/>
  <c r="P10" i="2" s="1"/>
  <c r="R10" i="2"/>
  <c r="O11" i="2"/>
  <c r="P11" i="2" s="1"/>
  <c r="R11" i="2"/>
  <c r="O12" i="2"/>
  <c r="P12" i="2"/>
  <c r="R12" i="2"/>
  <c r="O2" i="2"/>
  <c r="P2" i="2" s="1"/>
  <c r="R2" i="2"/>
  <c r="O3" i="2"/>
  <c r="P3" i="2" s="1"/>
  <c r="R3" i="2"/>
  <c r="O4" i="2"/>
  <c r="P4" i="2" s="1"/>
  <c r="R4" i="2"/>
  <c r="O5" i="2"/>
  <c r="P5" i="2" s="1"/>
  <c r="R5" i="2"/>
  <c r="O6" i="2"/>
  <c r="P6" i="2" s="1"/>
  <c r="R6" i="2"/>
  <c r="O7" i="2"/>
  <c r="P7" i="2" s="1"/>
  <c r="R7" i="2"/>
  <c r="O8" i="2"/>
  <c r="P8" i="2"/>
  <c r="R8" i="2"/>
  <c r="O9" i="2"/>
  <c r="P9" i="2" s="1"/>
  <c r="R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68F08-1A66-4175-A542-21E4B8CE536E}" keepAlive="1" name="Consulta - ApprovedTimeReport_002_202465" description="Conexão com a consulta 'ApprovedTimeReport_002_202465' na pasta de trabalho." type="5" refreshedVersion="8" background="1" saveData="1">
    <dbPr connection="Provider=Microsoft.Mashup.OleDb.1;Data Source=$Workbook$;Location=ApprovedTimeReport_002_202465;Extended Properties=&quot;&quot;" command="SELECT * FROM [ApprovedTimeReport_002_202465]"/>
  </connection>
</connections>
</file>

<file path=xl/sharedStrings.xml><?xml version="1.0" encoding="utf-8"?>
<sst xmlns="http://schemas.openxmlformats.org/spreadsheetml/2006/main" count="539" uniqueCount="174">
  <si>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</si>
  <si>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</si>
  <si>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</si>
  <si>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</si>
  <si>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</si>
  <si>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</si>
  <si>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</si>
  <si>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</si>
  <si>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</si>
  <si>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</si>
  <si>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</si>
  <si>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</si>
  <si>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</si>
  <si>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</si>
  <si>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</si>
  <si>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155-vckZF</t>
  </si>
  <si>
    <t>SOW</t>
  </si>
  <si>
    <t>Project Manager</t>
  </si>
  <si>
    <t>434-VCK448</t>
  </si>
  <si>
    <t>AMVAC do Brasil Representacoes</t>
  </si>
  <si>
    <t>DOSCOBQAD</t>
  </si>
  <si>
    <t>952-VCK446</t>
  </si>
  <si>
    <t>890-VCK500</t>
  </si>
  <si>
    <t>151-VckTow</t>
  </si>
  <si>
    <t>1062-VCK466</t>
  </si>
  <si>
    <t>SUP-Treinamento</t>
  </si>
  <si>
    <t>Vockan Consulting Ltda</t>
  </si>
  <si>
    <t>061-VckNid</t>
  </si>
  <si>
    <t>SUP-Outros Projetos</t>
  </si>
  <si>
    <t>368-VCK490</t>
  </si>
  <si>
    <t>Freudenberg Nok Comp Br Ltd</t>
  </si>
  <si>
    <t>095-vckadi</t>
  </si>
  <si>
    <t>NBP-PREVENDA</t>
  </si>
  <si>
    <t>USP15072</t>
  </si>
  <si>
    <t>370-vck22</t>
  </si>
  <si>
    <t>068-vckcar</t>
  </si>
  <si>
    <t>406-VCK498</t>
  </si>
  <si>
    <t>Joyson safety System Brasil Ltda</t>
  </si>
  <si>
    <t>362-VCK528</t>
  </si>
  <si>
    <t>Program Manager</t>
  </si>
  <si>
    <t>484-VCK514</t>
  </si>
  <si>
    <t>NB-Projetos e Consultoria</t>
  </si>
  <si>
    <t>NBP-PE-PLAN12</t>
  </si>
  <si>
    <t>100-VckHan</t>
  </si>
  <si>
    <t>A7lAPT28665</t>
  </si>
  <si>
    <t>CO04</t>
  </si>
  <si>
    <t>APTIV Man e Serv de Distr. Ltda</t>
  </si>
  <si>
    <t>NB-BPO e PMO</t>
  </si>
  <si>
    <t>NB-Consultoria-Tec&amp;Dev</t>
  </si>
  <si>
    <t>131-VckAut</t>
  </si>
  <si>
    <t>NB-Scrum-Dev</t>
  </si>
  <si>
    <t>fwoJoy58673</t>
  </si>
  <si>
    <t>436-VCK520</t>
  </si>
  <si>
    <t>NB01</t>
  </si>
  <si>
    <t>Sietech</t>
  </si>
  <si>
    <t>Nelson Simoes</t>
  </si>
  <si>
    <t>Alinhamento de estratégia DEV para Enterprise Plataform, Apresentação de modelo de captação de demandas DEV-TEC para Serviços, Overview semanal de projetos, Reunião com Amvac - Fabiana, Alinhamento com Fábio</t>
  </si>
  <si>
    <t>NBP-PE-PLAN10</t>
  </si>
  <si>
    <t>Mauser Do Brasil embalgens Ind S.A</t>
  </si>
  <si>
    <t>043-VckHuf</t>
  </si>
  <si>
    <t>HUF do Brasil Ltda</t>
  </si>
  <si>
    <t>002-VCKDSCPQAD</t>
  </si>
  <si>
    <t>876-VCK490</t>
  </si>
  <si>
    <t>Preparação de projeto Jira para alinhamento com Serviços, Alinhamento semanal com Comercial - Laiza</t>
  </si>
  <si>
    <t>NBP-PLAN107</t>
  </si>
  <si>
    <t>Alinhamento com Eduardo</t>
  </si>
  <si>
    <t>452-VCK476</t>
  </si>
  <si>
    <t>NB-Squad_DevTec</t>
  </si>
  <si>
    <t>SUP-Reuniao</t>
  </si>
  <si>
    <t>090-VckCnh</t>
  </si>
  <si>
    <t>Roteiro Agilista com Exchange</t>
  </si>
  <si>
    <t>Acompanhamento de tarefas de sustentação fora da Sprint 009, executadas por Parrillo</t>
  </si>
  <si>
    <t>On boarding Nayara</t>
  </si>
  <si>
    <t>Alinhamento sobre treinamentos, 1:1 Andre, reunião semana com funcionais, V-Control, Scrum</t>
  </si>
  <si>
    <t>FUP de oportunidades com André e Laiza, Atualização Bitrix, Revisão de material de BPO para MKT, Revisão de artigo Agilista, Alinhamento com Sildemar</t>
  </si>
  <si>
    <t>154-vckZF</t>
  </si>
  <si>
    <t>Alinhamento AutoKiniton, Acompanhamento de SQUAD - Repositorio e treinamentos, revisão de issues no BPO com SLA vencido</t>
  </si>
  <si>
    <t>NB-CloudCert2023</t>
  </si>
  <si>
    <t>NB-Treinamento</t>
  </si>
  <si>
    <t>Overview de Projetos, Reunião Infos, Atualização Bitrix</t>
  </si>
  <si>
    <t>826-VCK504</t>
  </si>
  <si>
    <t>NBP-PE-PLAN23</t>
  </si>
  <si>
    <t>Estrutura de atividades de DEV e TEC para consolidação no portifolio</t>
  </si>
  <si>
    <t>Update Cloud, alinhamento tarefas TEC</t>
  </si>
  <si>
    <t>Alinhamento e status semanal</t>
  </si>
  <si>
    <t>Planejamento Sprint 9, 1:1 André, entrega API, Reunião com Adium - Carla e Sergio</t>
  </si>
  <si>
    <t>Planejamento e acompanhamento de tarefas VBPO 137, 130, 265, 278, 290, 249, 134, 139, 266 e 153</t>
  </si>
  <si>
    <t>860-VCK562</t>
  </si>
  <si>
    <t>Planejamento e acompanhamento de tarefas VBPO 160, 162, 155 e</t>
  </si>
  <si>
    <t>NBP-Capacitacao</t>
  </si>
  <si>
    <t>Acompanhamento de tarefas de desenvolvimento VBPO 243 e 183</t>
  </si>
  <si>
    <t>Avaliação de chamados quebrados SLA com Fabio e Andre, Estratégia de Comunicação BPO com João, fechamento de sprint 8</t>
  </si>
  <si>
    <t>886-VCK704</t>
  </si>
  <si>
    <t>074-Vckadi</t>
  </si>
  <si>
    <t>089-vckand</t>
  </si>
  <si>
    <t>Tratamento de tarefas VBPO 237 e 238</t>
  </si>
  <si>
    <t>Alinhamento de recurso BPO no plan. estratégico</t>
  </si>
  <si>
    <t>970-VCK514</t>
  </si>
  <si>
    <t>Alinhamento de tarefas DEV e TEC, reunião com High Business</t>
  </si>
  <si>
    <t>NBP-CAIOBA</t>
  </si>
  <si>
    <t>Pitch Agilista Gravação</t>
  </si>
  <si>
    <t>944-VCK528</t>
  </si>
  <si>
    <t>Bimeda Cloud - Alinhamentos e reunião com Cliente, Scrum, checkpoint API, V-control</t>
  </si>
  <si>
    <t>NB-Universidades</t>
  </si>
  <si>
    <t>Alinhamento Agric - Testes com Eduardo</t>
  </si>
  <si>
    <t>Material MKT para BPO</t>
  </si>
  <si>
    <t>Bitrix BPO, Alinhamento de tarefas com Fabio, Proposta Rassini, Tratativas Bimeda Cloud</t>
  </si>
  <si>
    <t>Reunião Amvac - Conversão, 1:1 Andre, Acompanhamento de entrega API, reuniáo com Marcelo - HUF, reunião semanal com funcionais, Reuinão demanda JSS</t>
  </si>
  <si>
    <t>Pitch abordagem Agilista</t>
  </si>
  <si>
    <t>862-VCK538</t>
  </si>
  <si>
    <t>ROI para nova posição BPO</t>
  </si>
  <si>
    <t>NBP-QADBR+_Lean</t>
  </si>
  <si>
    <t>Alinhamento BPO, Scrum, Reunião Caioba</t>
  </si>
  <si>
    <t>Tratamento de atividades para Portifolio</t>
  </si>
  <si>
    <t>127-VckAdi</t>
  </si>
  <si>
    <t>010-VckBim</t>
  </si>
  <si>
    <t>Entrevista com Jornalista Rebecca - Artigo Agilista</t>
  </si>
  <si>
    <t>Tratamento de questões Adium, revisão Bitrix BPO, Acompanhamento de entrega API</t>
  </si>
  <si>
    <t>786-VCK538</t>
  </si>
  <si>
    <t>Overview semanal com Serviços/Projetos, reunião gerencial com Fabricio, alinhamento com MKT, Alinhamento com DEV e TEC</t>
  </si>
  <si>
    <t>Entrevista Nayara</t>
  </si>
  <si>
    <t>Testes Agric, status semanal</t>
  </si>
  <si>
    <t>Reunião sobre cloud com Roso, apresentação gerencial, Reunião com Leandro Cestari, Issues Valmont - Alinhamento</t>
  </si>
  <si>
    <t>Alinhamento com NEO, 1:1 com André, Scrum, Alinhamento Nuvem com Parpinelli</t>
  </si>
  <si>
    <t>Project wrap-up with tech team</t>
  </si>
  <si>
    <t>Planejamento Sprint 8</t>
  </si>
  <si>
    <t>Reunião Optidata com Koga, preparação para planejamento de sprint 8, alinhamento com Fabio sobre BPO</t>
  </si>
  <si>
    <t>Fechamento Sprint 7</t>
  </si>
  <si>
    <t>On-boarding Guilherme</t>
  </si>
  <si>
    <t>Alinhamento conversões 2022 - Agric</t>
  </si>
  <si>
    <t>Planejamento e acompanhamento de tarefas VBPO 290, 266, 139, 125, 137, 130, 231, 249, 278 e 132</t>
  </si>
  <si>
    <t>Alinhamento de Repositório Deve com Squad, status NN, Reunião com Juliana - Amvac</t>
  </si>
  <si>
    <t>CostRate w/ Taxes</t>
  </si>
  <si>
    <t>Project Type</t>
  </si>
  <si>
    <t>Total Cost</t>
  </si>
  <si>
    <t>NB-Support</t>
  </si>
  <si>
    <t>CSA</t>
  </si>
  <si>
    <t>128-VckAdi</t>
  </si>
  <si>
    <t>806-Vck446</t>
  </si>
  <si>
    <t>FF</t>
  </si>
  <si>
    <t>049-VckAmv</t>
  </si>
  <si>
    <t>115-VCKCER</t>
  </si>
  <si>
    <t>T&amp;M</t>
  </si>
  <si>
    <t>124-VckMue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</si>
  <si>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</si>
  <si>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</si>
  <si>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</si>
  <si>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</si>
  <si>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</si>
  <si>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</si>
  <si>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</si>
  <si>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</si>
  <si>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</si>
  <si>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</t>
  </si>
  <si>
    <t>NBP-Governanca</t>
  </si>
  <si>
    <t>088-VckZod</t>
  </si>
  <si>
    <t>097+110-vckadi</t>
  </si>
  <si>
    <t>788-VCK692</t>
  </si>
  <si>
    <t>858-VCK488</t>
  </si>
  <si>
    <t>ZF_894-VCK542</t>
  </si>
  <si>
    <t>NBP-Implantacao-BPO</t>
  </si>
  <si>
    <t>472-VCK450</t>
  </si>
  <si>
    <t>884-VCK526</t>
  </si>
  <si>
    <t>Rótulos de Linha</t>
  </si>
  <si>
    <t>Total Geral</t>
  </si>
  <si>
    <t>Soma de Time Actual</t>
  </si>
  <si>
    <t>Soma de Total Cost</t>
  </si>
  <si>
    <t>Sietech Total</t>
  </si>
  <si>
    <t>NB Total</t>
  </si>
  <si>
    <t>FF Total</t>
  </si>
  <si>
    <t>T&amp;M Total</t>
  </si>
  <si>
    <t>BRP2081</t>
  </si>
  <si>
    <t>BRP2082</t>
  </si>
  <si>
    <t>BRP2083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</si>
</sst>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0" borderId="0" xfId="0" pivotButton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43" fontId="0" fillId="0" borderId="0" xfId="0" pivotButton="1" applyNumberFormat="1"/>
    <xf numFmtId="43" fontId="0" fillId="0" borderId="0" xfId="0" applyNumberFormat="1"/>
    <xf numFmtId="43" fontId="0" fillId="2" borderId="0" xfId="0" applyNumberFormat="1" applyFill="1"/>
    <xf numFmtId="43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2">
    <cellStyle name="Normal" xfId="0" builtinId="0"/>
    <cellStyle name="Vírgula" xfId="1" builtinId="3"/>
  </cellStyles>
  <dxfs count="1251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2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478.665583796297" createdVersion="6" refreshedVersion="8" minRefreshableVersion="3" recordCount="1437" xr:uid="{AB54A6F0-BCD1-41DA-896C-E36C11B32EFA}">
  <cacheSource type="worksheet">
    <worksheetSource ref="A1:R1048576" sheet="Junho 2024"/>
  </cacheSource>
  <cacheFields count="18">
    <cacheField name="FunnelID" numFmtId="0">
      <sharedItems containsBlank="1" count="58">
        <s v="434-VCK448"/>
        <s v="A7lAPT28665"/>
        <s v="876-VCK490"/>
        <s v="043-VckHuf"/>
        <s v="406-VCK498"/>
        <s v="886-VCK704"/>
        <s v="NB-Consultoria-Tec&amp;Dev"/>
        <s v="NBP-PE-PLAN10"/>
        <s v="NBP-PE-PLAN12"/>
        <s v="NBP-PE-PLAN23"/>
        <s v="NB-Scrum-Dev"/>
        <m/>
        <s v="074-Vckadi" u="1"/>
        <s v="095-vckadi" u="1"/>
        <s v="127-VckAdi" u="1"/>
        <s v="860-VCK562" u="1"/>
        <s v="952-VCK446" u="1"/>
        <s v="NB-Support" u="1"/>
        <s v="370-vck22" u="1"/>
        <s v="089-vckand" u="1"/>
        <s v="131-VckAut" u="1"/>
        <s v="010-VckBim" u="1"/>
        <s v="1062-VCK466" u="1"/>
        <s v="068-vckcar" u="1"/>
        <s v="452-VCK476" u="1"/>
        <s v="090-VckCnh" u="1"/>
        <s v="368-VCK490" u="1"/>
        <s v="100-VckHan" u="1"/>
        <s v="fwoJoy58673" u="1"/>
        <s v="890-VCK500" u="1"/>
        <s v="826-VCK504" u="1"/>
        <s v="061-VckNid" u="1"/>
        <s v="484-VCK514" u="1"/>
        <s v="970-VCK514" u="1"/>
        <s v="002-VCKDSCPQAD" u="1"/>
        <s v="CSA" u="1"/>
        <s v="436-VCK520" u="1"/>
        <s v="362-VCK528" u="1"/>
        <s v="944-VCK528" u="1"/>
        <s v="151-VckTow" u="1"/>
        <s v="786-VCK538" u="1"/>
        <s v="862-VCK538" u="1"/>
        <s v="NB-BPO e PMO" u="1"/>
        <s v="NB-CloudCert2023" u="1"/>
        <s v="NBP-CAIOBA" u="1"/>
        <s v="NBP-Capacitacao" u="1"/>
        <s v="NBP-PLAN107" u="1"/>
        <s v="NBP-PREVENDA" u="1"/>
        <s v="NBP-QADBR+_Lean" u="1"/>
        <s v="NB-Projetos e Consultoria" u="1"/>
        <s v="NB-Squad_DevTec" u="1"/>
        <s v="NB-Treinamento" u="1"/>
        <s v="NB-Universidades" u="1"/>
        <s v="SUP-Outros Projetos" u="1"/>
        <s v="SUP-Reuniao" u="1"/>
        <s v="SUP-Treinamento" u="1"/>
        <s v="154-vckZF" u="1"/>
        <s v="155-vckZF" u="1"/>
      </sharedItems>
    </cacheField>
    <cacheField name="Work Date" numFmtId="0">
      <sharedItems containsNonDate="0" containsDate="1" containsString="0" containsBlank="1" minDate="2024-06-03T00:00:00" maxDate="2024-06-29T00:00:00"/>
    </cacheField>
    <cacheField name="Date TimeSheet" numFmtId="0">
      <sharedItems containsNonDate="0" containsDate="1" containsString="0" containsBlank="1" minDate="2024-06-30T00:00:00" maxDate="2024-07-02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6" maxValue="6"/>
    </cacheField>
    <cacheField name="Day" numFmtId="0">
      <sharedItems containsString="0" containsBlank="1" containsNumber="1" containsInteger="1" minValue="3" maxValue="28"/>
    </cacheField>
    <cacheField name="Week" numFmtId="0">
      <sharedItems containsString="0" containsBlank="1" containsNumber="1" containsInteger="1" minValue="23" maxValue="26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27">
        <s v="Sietech"/>
        <m/>
        <s v="DMS" u="1"/>
        <s v="FDV Gprojetos" u="1"/>
        <s v="PHL" u="1"/>
        <s v="Ceta" u="1"/>
        <s v="Domain Informatica" u="1"/>
        <s v="LUMENIT" u="1"/>
        <s v="CZ" u="1"/>
        <s v="RUAH" u="1"/>
        <s v="GMB SERVICOS INFORMATICA" u="1"/>
        <s v="F2B" u="1"/>
        <s v="Web Working" u="1"/>
        <s v="TFA" u="1"/>
        <s v="CYP" u="1"/>
        <s v="LC" u="1"/>
        <s v="High Business" u="1"/>
        <s v="HSJ" u="1"/>
        <s v="NEO" u="1"/>
        <s v="LF Solucoes TI" u="1"/>
        <s v="ISL" u="1"/>
        <s v="Vockan Consulting" u="1"/>
        <s v="DR Tecnologia" u="1"/>
        <s v="LGATTI" u="1"/>
        <s v="Loss Consultoria" u="1"/>
        <s v="NHvala" u="1"/>
        <s v="AGOB" u="1"/>
      </sharedItems>
    </cacheField>
    <cacheField name="Resource Name" numFmtId="0">
      <sharedItems containsBlank="1" count="48">
        <s v="Nelson Simoes"/>
        <m/>
        <s v="Ederson Alexandre-vk" u="1"/>
        <s v="Fernanda Dias-vk" u="1"/>
        <s v="Leandro Senna-vk" u="1"/>
        <s v="Jan Lustig" u="1"/>
        <s v="Geraldo Silva-vk" u="1"/>
        <s v="Andre Parpinelli-vk" u="1"/>
        <s v="Marcia Silva-vk" u="1"/>
        <s v="Higo Scheunemann-vk" u="1"/>
        <s v="Lumen Consultant 1" u="1"/>
        <s v="Diogo Aguiar-vk" u="1"/>
        <s v="Renato Louzada-vk" u="1"/>
        <s v="Reginaldo Almeida-vk" u="1"/>
        <s v="Thiago Queiros-vk" u="1"/>
        <s v="Gabriel Brigo-vk" u="1"/>
        <s v="Benedito Souza-vk" u="1"/>
        <s v="Sildemar Sousa-vk" u="1"/>
        <s v="Eduardo Provenzano-vk" u="1"/>
        <s v="Fabio Costa-vk" u="1"/>
        <s v="Leonardo Parrillo-vk" u="1"/>
        <s v="Luciana Cavalcante-vk" u="1"/>
        <s v="Miguel Castaneda-vk" u="1"/>
        <s v="Hilmar Junior-vk" u="1"/>
        <s v="Walter Augusto-vk" u="1"/>
        <s v="Edson Risso-vk" u="1"/>
        <s v="Eduardo Moreno-vk" u="1"/>
        <s v="Luiz Alfredo-vk" u="1"/>
        <s v="Allan Oliveira" u="1"/>
        <s v="Pedro Silva-vk" u="1"/>
        <s v="Jefte Villar-vk" u="1"/>
        <s v="Leandro Francischinelli" u="1"/>
        <s v="Walter Braz-vk" u="1"/>
        <s v="Willian Claros" u="1"/>
        <s v="Ismael Lopes-vk" u="1"/>
        <s v="Vinicius Knipers-vk" u="1"/>
        <s v="Daniel Amaral-vk" u="1"/>
        <s v="Tiago Semidei" u="1"/>
        <s v="Kauane Rocha" u="1"/>
        <s v="Lincoln Gatti" u="1"/>
        <s v="Guilherme Loss" u="1"/>
        <s v="Nayara Hvala" u="1"/>
        <s v="Marcelo Cunha-vk" u="1"/>
        <s v="Sergio Ziroldo-vk" u="1"/>
        <s v="Nilson Santana-vk" u="1"/>
        <s v="Giovana Rodrigues" u="1"/>
        <s v="João Fujii" u="1"/>
        <s v="Ana Bispo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32.143250688705237" maxValue="6000" count="43">
        <n v="173.00275482093664"/>
        <n v="110"/>
        <n v="95.239669421487619"/>
        <m/>
        <n v="140" u="1"/>
        <n v="126.99724517906337" u="1"/>
        <n v="173" u="1"/>
        <n v="150" u="1"/>
        <n v="178.99724517906336" u="1"/>
        <n v="124" u="1"/>
        <n v="165.00275482093664" u="1"/>
        <n v="222" u="1"/>
        <n v="182.99724517906336" u="1"/>
        <n v="260.39669421487605" u="1"/>
        <n v="133.92837465564739" u="1"/>
        <n v="120.00000000000001" u="1"/>
        <n v="162" u="1"/>
        <n v="97.090909090909093" u="1"/>
        <n v="114.99724517906337" u="1"/>
        <n v="80" u="1"/>
        <n v="180" u="1"/>
        <n v="93.002754820936644" u="1"/>
        <n v="86.247933884297524" u="1"/>
        <n v="119" u="1"/>
        <n v="142.99724517906338" u="1"/>
        <n v="160" u="1"/>
        <n v="190.00000000000003" u="1"/>
        <n v="96.000000000000014" u="1"/>
        <n v="61.663911845730027" u="1"/>
        <n v="198" u="1"/>
        <n v="98.99724517906337" u="1"/>
        <n v="170" u="1"/>
        <n v="32.143250688705237" u="1"/>
        <n v="40.00440771349863" u="1"/>
        <n v="68.749311294765846" u="1"/>
        <n v="106.06060606060606" u="1"/>
        <n v="195" u="1"/>
        <n v="65.002754820936644" u="1"/>
        <n v="94.997245179063356" u="1"/>
        <n v="190" u="1"/>
        <n v="118.99724517906336" u="1"/>
        <n v="4700" u="1"/>
        <n v="6000" u="1"/>
      </sharedItems>
    </cacheField>
    <cacheField name="Total Cost" numFmtId="0">
      <sharedItems containsString="0" containsBlank="1" containsNumber="1" minValue="110" maxValue="880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7">
  <r>
    <x v="0"/>
    <d v="2024-06-27T00:00:00"/>
    <d v="2024-06-30T00:00:00"/>
    <s v="SOW"/>
    <n v="2024"/>
    <n v="6"/>
    <n v="27"/>
    <n v="26"/>
    <n v="1"/>
    <x v="0"/>
    <x v="0"/>
    <s v="Project Manager"/>
    <s v="Alinhamento com Eduardo"/>
    <n v="157"/>
    <x v="0"/>
    <n v="173.00275482093664"/>
    <s v="AMVAC do Brasil Representacoes"/>
    <x v="0"/>
  </r>
  <r>
    <x v="0"/>
    <d v="2024-06-20T00:00:00"/>
    <d v="2024-06-30T00:00:00"/>
    <s v="SOW"/>
    <n v="2024"/>
    <n v="6"/>
    <n v="20"/>
    <n v="25"/>
    <n v="1"/>
    <x v="0"/>
    <x v="0"/>
    <s v="Project Manager"/>
    <s v="Alinhamento e status semanal"/>
    <n v="157"/>
    <x v="0"/>
    <n v="173.00275482093664"/>
    <s v="AMVAC do Brasil Representacoes"/>
    <x v="0"/>
  </r>
  <r>
    <x v="0"/>
    <d v="2024-06-18T00:00:00"/>
    <d v="2024-06-30T00:00:00"/>
    <s v="SOW"/>
    <n v="2024"/>
    <n v="6"/>
    <n v="18"/>
    <n v="25"/>
    <n v="1"/>
    <x v="0"/>
    <x v="0"/>
    <s v="Project Manager"/>
    <s v="Acompanhamento de tarefas de desenvolvimento VBPO 243 e 183"/>
    <n v="157"/>
    <x v="0"/>
    <n v="173.00275482093664"/>
    <s v="AMVAC do Brasil Representacoes"/>
    <x v="0"/>
  </r>
  <r>
    <x v="0"/>
    <d v="2024-06-13T00:00:00"/>
    <d v="2024-06-30T00:00:00"/>
    <s v="SOW"/>
    <n v="2024"/>
    <n v="6"/>
    <n v="13"/>
    <n v="24"/>
    <n v="1"/>
    <x v="0"/>
    <x v="0"/>
    <s v="Project Manager"/>
    <s v="Alinhamento Agric - Testes com Eduardo"/>
    <n v="157"/>
    <x v="0"/>
    <n v="173.00275482093664"/>
    <s v="AMVAC do Brasil Representacoes"/>
    <x v="0"/>
  </r>
  <r>
    <x v="0"/>
    <d v="2024-06-06T00:00:00"/>
    <d v="2024-06-30T00:00:00"/>
    <s v="SOW"/>
    <n v="2024"/>
    <n v="6"/>
    <n v="6"/>
    <n v="23"/>
    <n v="2"/>
    <x v="0"/>
    <x v="0"/>
    <s v="Project Manager"/>
    <s v="Testes Agric, status semanal"/>
    <n v="157"/>
    <x v="0"/>
    <n v="346.00550964187329"/>
    <s v="AMVAC do Brasil Representacoes"/>
    <x v="0"/>
  </r>
  <r>
    <x v="0"/>
    <d v="2024-06-03T00:00:00"/>
    <d v="2024-06-30T00:00:00"/>
    <s v="SOW"/>
    <n v="2024"/>
    <n v="6"/>
    <n v="3"/>
    <n v="23"/>
    <n v="1"/>
    <x v="0"/>
    <x v="0"/>
    <s v="Project Manager"/>
    <s v="Alinhamento conversões 2022 - Agric"/>
    <n v="157"/>
    <x v="0"/>
    <n v="173.00275482093664"/>
    <s v="AMVAC do Brasil Representacoes"/>
    <x v="0"/>
  </r>
  <r>
    <x v="1"/>
    <d v="2024-06-19T00:00:00"/>
    <d v="2024-06-30T00:00:00"/>
    <s v="CO04"/>
    <n v="2024"/>
    <n v="6"/>
    <n v="19"/>
    <n v="25"/>
    <n v="2"/>
    <x v="0"/>
    <x v="0"/>
    <s v="Project Manager"/>
    <s v="Planejamento e acompanhamento de tarefas VBPO 137, 130, 265, 278, 290, 249, 134, 139, 266 e 153"/>
    <n v="157"/>
    <x v="0"/>
    <n v="346.00550964187329"/>
    <s v="APTIV Man e Serv de Distr. Ltda"/>
    <x v="0"/>
  </r>
  <r>
    <x v="1"/>
    <d v="2024-06-03T00:00:00"/>
    <d v="2024-06-30T00:00:00"/>
    <s v="CO04"/>
    <n v="2024"/>
    <n v="6"/>
    <n v="3"/>
    <n v="23"/>
    <n v="2"/>
    <x v="0"/>
    <x v="0"/>
    <s v="Project Manager"/>
    <s v="Planejamento e acompanhamento de tarefas VBPO 290, 266, 139, 125, 137, 130, 231, 249, 278 e 132"/>
    <n v="157"/>
    <x v="0"/>
    <n v="346.00550964187329"/>
    <s v="APTIV Man e Serv de Distr. Ltda"/>
    <x v="0"/>
  </r>
  <r>
    <x v="2"/>
    <d v="2024-06-26T00:00:00"/>
    <d v="2024-06-30T00:00:00"/>
    <s v="SOW"/>
    <n v="2024"/>
    <n v="6"/>
    <n v="26"/>
    <n v="26"/>
    <n v="1"/>
    <x v="0"/>
    <x v="0"/>
    <s v="Project Manager"/>
    <s v="Acompanhamento de tarefas de sustentação fora da Sprint 009, executadas por Parrillo"/>
    <n v="157"/>
    <x v="0"/>
    <n v="173.00275482093664"/>
    <s v="Freudenberg Nok Comp Br Ltd"/>
    <x v="1"/>
  </r>
  <r>
    <x v="3"/>
    <d v="2024-06-19T00:00:00"/>
    <d v="2024-06-30T00:00:00"/>
    <s v="SOW"/>
    <n v="2024"/>
    <n v="6"/>
    <n v="19"/>
    <n v="25"/>
    <n v="2"/>
    <x v="0"/>
    <x v="0"/>
    <s v="Project Manager"/>
    <s v="Planejamento e acompanhamento de tarefas VBPO 160, 162, 155 e"/>
    <n v="157"/>
    <x v="0"/>
    <n v="346.00550964187329"/>
    <s v="HUF do Brasil Ltda"/>
    <x v="0"/>
  </r>
  <r>
    <x v="4"/>
    <d v="2024-06-18T00:00:00"/>
    <d v="2024-06-30T00:00:00"/>
    <s v="SOW"/>
    <n v="2024"/>
    <n v="6"/>
    <n v="18"/>
    <n v="25"/>
    <n v="1"/>
    <x v="0"/>
    <x v="0"/>
    <s v="Project Manager"/>
    <s v="Tratamento de tarefas VBPO 237 e 238"/>
    <n v="157"/>
    <x v="0"/>
    <n v="173.00275482093664"/>
    <s v="Joyson safety System Brasil Ltda"/>
    <x v="0"/>
  </r>
  <r>
    <x v="5"/>
    <d v="2024-06-05T00:00:00"/>
    <d v="2024-06-30T00:00:00"/>
    <s v="SOW"/>
    <n v="2024"/>
    <n v="6"/>
    <n v="5"/>
    <n v="23"/>
    <n v="1"/>
    <x v="0"/>
    <x v="0"/>
    <s v="Project Manager"/>
    <s v="Project wrap-up with tech team"/>
    <n v="157"/>
    <x v="0"/>
    <n v="173.00275482093664"/>
    <s v="Mauser Do Brasil embalgens Ind S.A"/>
    <x v="1"/>
  </r>
  <r>
    <x v="6"/>
    <d v="2024-06-28T00:00:00"/>
    <d v="2024-07-01T00:00:00"/>
    <s v="NB01"/>
    <n v="2024"/>
    <n v="6"/>
    <n v="28"/>
    <n v="26"/>
    <n v="8"/>
    <x v="0"/>
    <x v="0"/>
    <s v="Program Manager"/>
    <s v="Alinhamento de estratégia DEV para Enterprise Plataform, Apresentação de modelo de captação de demandas DEV-TEC para Serviços, Overview semanal de projetos, Reunião com Amvac - Fabiana, Alinhamento com Fábio"/>
    <n v="99.83"/>
    <x v="1"/>
    <n v="880"/>
    <s v="Vockan Consulting Ltda"/>
    <x v="2"/>
  </r>
  <r>
    <x v="6"/>
    <d v="2024-06-27T00:00:00"/>
    <d v="2024-07-01T00:00:00"/>
    <s v="NB01"/>
    <n v="2024"/>
    <n v="6"/>
    <n v="27"/>
    <n v="26"/>
    <n v="5"/>
    <x v="0"/>
    <x v="0"/>
    <s v="Program Manager"/>
    <s v="Preparação de projeto Jira para alinhamento com Serviços, Alinhamento semanal com Comercial - Laiza"/>
    <n v="99.83"/>
    <x v="1"/>
    <n v="550"/>
    <s v="Vockan Consulting Ltda"/>
    <x v="2"/>
  </r>
  <r>
    <x v="6"/>
    <d v="2024-06-26T00:00:00"/>
    <d v="2024-07-01T00:00:00"/>
    <s v="NB01"/>
    <n v="2024"/>
    <n v="6"/>
    <n v="26"/>
    <n v="26"/>
    <n v="5"/>
    <x v="0"/>
    <x v="0"/>
    <s v="Program Manager"/>
    <s v="Alinhamento sobre treinamentos, 1:1 Andre, reunião semana com funcionais, V-Control, Scrum"/>
    <n v="99.83"/>
    <x v="1"/>
    <n v="550"/>
    <s v="Vockan Consulting Ltda"/>
    <x v="2"/>
  </r>
  <r>
    <x v="6"/>
    <d v="2024-06-25T00:00:00"/>
    <d v="2024-07-01T00:00:00"/>
    <s v="NB01"/>
    <n v="2024"/>
    <n v="6"/>
    <n v="25"/>
    <n v="26"/>
    <n v="8"/>
    <x v="0"/>
    <x v="0"/>
    <s v="Program Manager"/>
    <s v="FUP de oportunidades com André e Laiza, Atualização Bitrix, Revisão de material de BPO para MKT, Revisão de artigo Agilista, Alinhamento com Sildemar"/>
    <n v="99.83"/>
    <x v="1"/>
    <n v="880"/>
    <s v="Vockan Consulting Ltda"/>
    <x v="2"/>
  </r>
  <r>
    <x v="6"/>
    <d v="2024-06-24T00:00:00"/>
    <d v="2024-07-01T00:00:00"/>
    <s v="NB01"/>
    <n v="2024"/>
    <n v="6"/>
    <n v="24"/>
    <n v="26"/>
    <n v="8"/>
    <x v="0"/>
    <x v="0"/>
    <s v="Program Manager"/>
    <s v="Alinhamento AutoKiniton, Acompanhamento de SQUAD - Repositorio e treinamentos, revisão de issues no BPO com SLA vencido"/>
    <n v="99.83"/>
    <x v="1"/>
    <n v="880"/>
    <s v="Vockan Consulting Ltda"/>
    <x v="2"/>
  </r>
  <r>
    <x v="6"/>
    <d v="2024-06-21T00:00:00"/>
    <d v="2024-07-01T00:00:00"/>
    <s v="NB01"/>
    <n v="2024"/>
    <n v="6"/>
    <n v="21"/>
    <n v="25"/>
    <n v="5"/>
    <x v="0"/>
    <x v="0"/>
    <s v="Program Manager"/>
    <s v="Overview de Projetos, Reunião Infos, Atualização Bitrix"/>
    <n v="99.83"/>
    <x v="1"/>
    <n v="550"/>
    <s v="Vockan Consulting Ltda"/>
    <x v="2"/>
  </r>
  <r>
    <x v="6"/>
    <d v="2024-06-20T00:00:00"/>
    <d v="2024-07-01T00:00:00"/>
    <s v="NB01"/>
    <n v="2024"/>
    <n v="6"/>
    <n v="20"/>
    <n v="25"/>
    <n v="3"/>
    <x v="0"/>
    <x v="0"/>
    <s v="Program Manager"/>
    <s v="Update Cloud, alinhamento tarefas TEC"/>
    <n v="99.83"/>
    <x v="1"/>
    <n v="330"/>
    <s v="Vockan Consulting Ltda"/>
    <x v="2"/>
  </r>
  <r>
    <x v="6"/>
    <d v="2024-06-19T00:00:00"/>
    <d v="2024-07-01T00:00:00"/>
    <s v="NB01"/>
    <n v="2024"/>
    <n v="6"/>
    <n v="19"/>
    <n v="25"/>
    <n v="4"/>
    <x v="0"/>
    <x v="0"/>
    <s v="Program Manager"/>
    <s v="Planejamento Sprint 9, 1:1 André, entrega API, Reunião com Adium - Carla e Sergio"/>
    <n v="99.83"/>
    <x v="1"/>
    <n v="440"/>
    <s v="Vockan Consulting Ltda"/>
    <x v="2"/>
  </r>
  <r>
    <x v="6"/>
    <d v="2024-06-18T00:00:00"/>
    <d v="2024-07-01T00:00:00"/>
    <s v="NB01"/>
    <n v="2024"/>
    <n v="6"/>
    <n v="18"/>
    <n v="25"/>
    <n v="6"/>
    <x v="0"/>
    <x v="0"/>
    <s v="Program Manager"/>
    <s v="Avaliação de chamados quebrados SLA com Fabio e Andre, Estratégia de Comunicação BPO com João, fechamento de sprint 8"/>
    <n v="99.83"/>
    <x v="1"/>
    <n v="660"/>
    <s v="Vockan Consulting Ltda"/>
    <x v="2"/>
  </r>
  <r>
    <x v="6"/>
    <d v="2024-06-17T00:00:00"/>
    <d v="2024-07-01T00:00:00"/>
    <s v="NB01"/>
    <n v="2024"/>
    <n v="6"/>
    <n v="17"/>
    <n v="25"/>
    <n v="7"/>
    <x v="0"/>
    <x v="0"/>
    <s v="Program Manager"/>
    <s v="Alinhamento de tarefas DEV e TEC, reunião com High Business"/>
    <n v="99.83"/>
    <x v="1"/>
    <n v="770"/>
    <s v="Vockan Consulting Ltda"/>
    <x v="2"/>
  </r>
  <r>
    <x v="6"/>
    <d v="2024-06-14T00:00:00"/>
    <d v="2024-07-01T00:00:00"/>
    <s v="NB01"/>
    <n v="2024"/>
    <n v="6"/>
    <n v="14"/>
    <n v="24"/>
    <n v="6"/>
    <x v="0"/>
    <x v="0"/>
    <s v="Program Manager"/>
    <s v="Bimeda Cloud - Alinhamentos e reunião com Cliente, Scrum, checkpoint API, V-control"/>
    <n v="99.83"/>
    <x v="1"/>
    <n v="660"/>
    <s v="Vockan Consulting Ltda"/>
    <x v="2"/>
  </r>
  <r>
    <x v="6"/>
    <d v="2024-06-13T00:00:00"/>
    <d v="2024-07-01T00:00:00"/>
    <s v="NB01"/>
    <n v="2024"/>
    <n v="6"/>
    <n v="13"/>
    <n v="24"/>
    <n v="5"/>
    <x v="0"/>
    <x v="0"/>
    <s v="Program Manager"/>
    <s v="Bitrix BPO, Alinhamento de tarefas com Fabio, Proposta Rassini, Tratativas Bimeda Cloud"/>
    <n v="99.83"/>
    <x v="1"/>
    <n v="550"/>
    <s v="Vockan Consulting Ltda"/>
    <x v="2"/>
  </r>
  <r>
    <x v="6"/>
    <d v="2024-06-12T00:00:00"/>
    <d v="2024-07-01T00:00:00"/>
    <s v="NB01"/>
    <n v="2024"/>
    <n v="6"/>
    <n v="12"/>
    <n v="24"/>
    <n v="6"/>
    <x v="0"/>
    <x v="0"/>
    <s v="Program Manager"/>
    <s v="Reunião Amvac - Conversão, 1:1 Andre, Acompanhamento de entrega API, reuniáo com Marcelo - HUF, reunião semanal com funcionais, Reuinão demanda JSS"/>
    <n v="99.83"/>
    <x v="1"/>
    <n v="660"/>
    <s v="Vockan Consulting Ltda"/>
    <x v="2"/>
  </r>
  <r>
    <x v="6"/>
    <d v="2024-06-11T00:00:00"/>
    <d v="2024-07-01T00:00:00"/>
    <s v="NB01"/>
    <n v="2024"/>
    <n v="6"/>
    <n v="11"/>
    <n v="24"/>
    <n v="4"/>
    <x v="0"/>
    <x v="0"/>
    <s v="Program Manager"/>
    <s v="Alinhamento BPO, Scrum, Reunião Caioba"/>
    <n v="99.83"/>
    <x v="1"/>
    <n v="440"/>
    <s v="Vockan Consulting Ltda"/>
    <x v="2"/>
  </r>
  <r>
    <x v="6"/>
    <d v="2024-06-10T00:00:00"/>
    <d v="2024-07-01T00:00:00"/>
    <s v="NB01"/>
    <n v="2024"/>
    <n v="6"/>
    <n v="10"/>
    <n v="24"/>
    <n v="7"/>
    <x v="0"/>
    <x v="0"/>
    <s v="Program Manager"/>
    <s v="Tratamento de questões Adium, revisão Bitrix BPO, Acompanhamento de entrega API"/>
    <n v="99.83"/>
    <x v="1"/>
    <n v="770"/>
    <s v="Vockan Consulting Ltda"/>
    <x v="2"/>
  </r>
  <r>
    <x v="6"/>
    <d v="2024-06-07T00:00:00"/>
    <d v="2024-07-01T00:00:00"/>
    <s v="NB01"/>
    <n v="2024"/>
    <n v="6"/>
    <n v="7"/>
    <n v="23"/>
    <n v="8"/>
    <x v="0"/>
    <x v="0"/>
    <s v="Program Manager"/>
    <s v="Overview semanal com Serviços/Projetos, reunião gerencial com Fabricio, alinhamento com MKT, Alinhamento com DEV e TEC"/>
    <n v="99.83"/>
    <x v="1"/>
    <n v="880"/>
    <s v="Vockan Consulting Ltda"/>
    <x v="2"/>
  </r>
  <r>
    <x v="6"/>
    <d v="2024-06-06T00:00:00"/>
    <d v="2024-07-01T00:00:00"/>
    <s v="NB01"/>
    <n v="2024"/>
    <n v="6"/>
    <n v="6"/>
    <n v="23"/>
    <n v="5"/>
    <x v="0"/>
    <x v="0"/>
    <s v="Program Manager"/>
    <s v="Reunião sobre cloud com Roso, apresentação gerencial, Reunião com Leandro Cestari, Issues Valmont - Alinhamento"/>
    <n v="99.83"/>
    <x v="1"/>
    <n v="550"/>
    <s v="Vockan Consulting Ltda"/>
    <x v="2"/>
  </r>
  <r>
    <x v="6"/>
    <d v="2024-06-05T00:00:00"/>
    <d v="2024-06-30T00:00:00"/>
    <s v="NB01"/>
    <n v="2024"/>
    <n v="6"/>
    <n v="5"/>
    <n v="23"/>
    <n v="7"/>
    <x v="0"/>
    <x v="0"/>
    <s v="Program Manager"/>
    <s v="Alinhamento com NEO, 1:1 com André, Scrum, Alinhamento Nuvem com Parpinelli"/>
    <n v="99.83"/>
    <x v="1"/>
    <n v="770"/>
    <s v="Vockan Consulting Ltda"/>
    <x v="2"/>
  </r>
  <r>
    <x v="6"/>
    <d v="2024-06-04T00:00:00"/>
    <d v="2024-06-30T00:00:00"/>
    <s v="NB01"/>
    <n v="2024"/>
    <n v="6"/>
    <n v="4"/>
    <n v="23"/>
    <n v="6"/>
    <x v="0"/>
    <x v="0"/>
    <s v="Program Manager"/>
    <s v="Reunião Optidata com Koga, preparação para planejamento de sprint 8, alinhamento com Fabio sobre BPO"/>
    <n v="99.83"/>
    <x v="1"/>
    <n v="660"/>
    <s v="Vockan Consulting Ltda"/>
    <x v="2"/>
  </r>
  <r>
    <x v="6"/>
    <d v="2024-06-03T00:00:00"/>
    <d v="2024-06-30T00:00:00"/>
    <s v="NB01"/>
    <n v="2024"/>
    <n v="6"/>
    <n v="3"/>
    <n v="23"/>
    <n v="2"/>
    <x v="0"/>
    <x v="0"/>
    <s v="Program Manager"/>
    <s v="Alinhamento de Repositório Deve com Squad, status NN, Reunião com Juliana - Amvac"/>
    <n v="99.83"/>
    <x v="1"/>
    <n v="220"/>
    <s v="Vockan Consulting Ltda"/>
    <x v="2"/>
  </r>
  <r>
    <x v="7"/>
    <d v="2024-06-26T00:00:00"/>
    <d v="2024-06-30T00:00:00"/>
    <s v="SOW"/>
    <n v="2024"/>
    <n v="6"/>
    <n v="26"/>
    <n v="26"/>
    <n v="1"/>
    <x v="0"/>
    <x v="0"/>
    <s v="Project Manager"/>
    <s v="Roteiro Agilista com Exchange"/>
    <n v="99.83"/>
    <x v="1"/>
    <n v="110"/>
    <s v="Vockan Consulting Ltda"/>
    <x v="2"/>
  </r>
  <r>
    <x v="7"/>
    <d v="2024-06-14T00:00:00"/>
    <d v="2024-06-30T00:00:00"/>
    <s v="SOW"/>
    <n v="2024"/>
    <n v="6"/>
    <n v="14"/>
    <n v="24"/>
    <n v="2"/>
    <x v="0"/>
    <x v="0"/>
    <s v="Project Manager"/>
    <s v="Pitch Agilista Gravação"/>
    <n v="99.83"/>
    <x v="1"/>
    <n v="220"/>
    <s v="Vockan Consulting Ltda"/>
    <x v="2"/>
  </r>
  <r>
    <x v="7"/>
    <d v="2024-06-12T00:00:00"/>
    <d v="2024-06-30T00:00:00"/>
    <s v="SOW"/>
    <n v="2024"/>
    <n v="6"/>
    <n v="12"/>
    <n v="24"/>
    <n v="2"/>
    <x v="0"/>
    <x v="0"/>
    <s v="Project Manager"/>
    <s v="Pitch abordagem Agilista"/>
    <n v="99.83"/>
    <x v="1"/>
    <n v="220"/>
    <s v="Vockan Consulting Ltda"/>
    <x v="2"/>
  </r>
  <r>
    <x v="7"/>
    <d v="2024-06-10T00:00:00"/>
    <d v="2024-06-30T00:00:00"/>
    <s v="SOW"/>
    <n v="2024"/>
    <n v="6"/>
    <n v="10"/>
    <n v="24"/>
    <n v="1"/>
    <x v="0"/>
    <x v="0"/>
    <s v="Project Manager"/>
    <s v="Entrevista com Jornalista Rebecca - Artigo Agilista"/>
    <n v="99.83"/>
    <x v="1"/>
    <n v="110"/>
    <s v="Vockan Consulting Ltda"/>
    <x v="2"/>
  </r>
  <r>
    <x v="7"/>
    <d v="2024-06-03T00:00:00"/>
    <d v="2024-06-30T00:00:00"/>
    <s v="SOW"/>
    <n v="2024"/>
    <n v="6"/>
    <n v="3"/>
    <n v="23"/>
    <n v="1"/>
    <x v="0"/>
    <x v="0"/>
    <s v="Project Manager"/>
    <s v="On-boarding Guilherme"/>
    <n v="99.83"/>
    <x v="1"/>
    <n v="110"/>
    <s v="Vockan Consulting Ltda"/>
    <x v="2"/>
  </r>
  <r>
    <x v="8"/>
    <d v="2024-06-26T00:00:00"/>
    <d v="2024-06-30T00:00:00"/>
    <s v="SOW"/>
    <n v="2024"/>
    <n v="6"/>
    <n v="26"/>
    <n v="26"/>
    <n v="1"/>
    <x v="0"/>
    <x v="0"/>
    <s v="Project Manager"/>
    <s v="On boarding Nayara"/>
    <n v="99.83"/>
    <x v="1"/>
    <n v="110"/>
    <s v="Vockan Consulting Ltda"/>
    <x v="2"/>
  </r>
  <r>
    <x v="8"/>
    <d v="2024-06-17T00:00:00"/>
    <d v="2024-06-30T00:00:00"/>
    <s v="SOW"/>
    <n v="2024"/>
    <n v="6"/>
    <n v="17"/>
    <n v="25"/>
    <n v="1"/>
    <x v="0"/>
    <x v="0"/>
    <s v="Project Manager"/>
    <s v="Alinhamento de recurso BPO no plan. estratégico"/>
    <n v="99.83"/>
    <x v="1"/>
    <n v="110"/>
    <s v="Vockan Consulting Ltda"/>
    <x v="2"/>
  </r>
  <r>
    <x v="8"/>
    <d v="2024-06-13T00:00:00"/>
    <d v="2024-07-01T00:00:00"/>
    <s v="SOW"/>
    <n v="2024"/>
    <n v="6"/>
    <n v="13"/>
    <n v="24"/>
    <n v="2"/>
    <x v="0"/>
    <x v="0"/>
    <s v="Project Manager"/>
    <s v="Material MKT para BPO"/>
    <n v="99.83"/>
    <x v="1"/>
    <n v="220"/>
    <s v="Vockan Consulting Ltda"/>
    <x v="2"/>
  </r>
  <r>
    <x v="8"/>
    <d v="2024-06-11T00:00:00"/>
    <d v="2024-06-30T00:00:00"/>
    <s v="SOW"/>
    <n v="2024"/>
    <n v="6"/>
    <n v="11"/>
    <n v="24"/>
    <n v="2"/>
    <x v="0"/>
    <x v="0"/>
    <s v="Project Manager"/>
    <s v="ROI para nova posição BPO"/>
    <n v="99.83"/>
    <x v="1"/>
    <n v="220"/>
    <s v="Vockan Consulting Ltda"/>
    <x v="2"/>
  </r>
  <r>
    <x v="8"/>
    <d v="2024-06-06T00:00:00"/>
    <d v="2024-06-30T00:00:00"/>
    <s v="SOW"/>
    <n v="2024"/>
    <n v="6"/>
    <n v="6"/>
    <n v="23"/>
    <n v="1"/>
    <x v="0"/>
    <x v="0"/>
    <s v="Project Manager"/>
    <s v="Entrevista Nayara"/>
    <n v="99.83"/>
    <x v="1"/>
    <n v="110"/>
    <s v="Vockan Consulting Ltda"/>
    <x v="2"/>
  </r>
  <r>
    <x v="9"/>
    <d v="2024-06-20T00:00:00"/>
    <d v="2024-07-01T00:00:00"/>
    <s v="SOW"/>
    <n v="2024"/>
    <n v="6"/>
    <n v="20"/>
    <n v="25"/>
    <n v="4"/>
    <x v="0"/>
    <x v="0"/>
    <s v="Project Manager"/>
    <s v="Estrutura de atividades de DEV e TEC para consolidação no portifolio"/>
    <n v="157"/>
    <x v="0"/>
    <n v="692.01101928374658"/>
    <s v="Vockan Consulting Ltda"/>
    <x v="2"/>
  </r>
  <r>
    <x v="9"/>
    <d v="2024-06-11T00:00:00"/>
    <d v="2024-07-01T00:00:00"/>
    <s v="SOW"/>
    <n v="2024"/>
    <n v="6"/>
    <n v="11"/>
    <n v="24"/>
    <n v="2"/>
    <x v="0"/>
    <x v="0"/>
    <s v="Project Manager"/>
    <s v="Tratamento de atividades para Portifolio"/>
    <n v="157"/>
    <x v="0"/>
    <n v="346.00550964187329"/>
    <s v="Vockan Consulting Ltda"/>
    <x v="2"/>
  </r>
  <r>
    <x v="10"/>
    <d v="2024-06-04T00:00:00"/>
    <d v="2024-06-30T00:00:00"/>
    <s v="SOW"/>
    <n v="2024"/>
    <n v="6"/>
    <n v="4"/>
    <n v="23"/>
    <n v="2"/>
    <x v="0"/>
    <x v="0"/>
    <s v="Program Manager"/>
    <s v="Planejamento Sprint 8"/>
    <n v="86.43"/>
    <x v="2"/>
    <n v="190.47933884297524"/>
    <s v="Vockan Consulting Ltda"/>
    <x v="2"/>
  </r>
  <r>
    <x v="10"/>
    <d v="2024-06-03T00:00:00"/>
    <d v="2024-06-30T00:00:00"/>
    <s v="SOW"/>
    <n v="2024"/>
    <n v="6"/>
    <n v="3"/>
    <n v="23"/>
    <n v="2"/>
    <x v="0"/>
    <x v="0"/>
    <s v="Program Manager"/>
    <s v="Fechamento Sprint 7"/>
    <n v="86.43"/>
    <x v="2"/>
    <n v="190.47933884297524"/>
    <s v="Vockan Consulting Ltda"/>
    <x v="2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  <r>
    <x v="11"/>
    <m/>
    <m/>
    <m/>
    <m/>
    <m/>
    <m/>
    <m/>
    <m/>
    <x v="1"/>
    <x v="1"/>
    <m/>
    <m/>
    <m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5F1FA-9AD4-4C51-9781-AB28C09961D4}" name="Tabela dinâmica2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9" firstHeaderRow="0" firstDataRow="1" firstDataCol="5"/>
  <pivotFields count="18">
    <pivotField axis="axisRow" outline="0" showAll="0" defaultSubtotal="0">
      <items count="58">
        <item m="1" x="34"/>
        <item m="1" x="21"/>
        <item x="3"/>
        <item m="1" x="31"/>
        <item m="1" x="23"/>
        <item m="1" x="12"/>
        <item m="1" x="19"/>
        <item m="1" x="25"/>
        <item m="1" x="13"/>
        <item m="1" x="27"/>
        <item m="1" x="22"/>
        <item m="1" x="14"/>
        <item m="1" x="20"/>
        <item m="1" x="39"/>
        <item m="1" x="56"/>
        <item m="1" x="57"/>
        <item m="1" x="37"/>
        <item m="1" x="26"/>
        <item m="1" x="18"/>
        <item x="4"/>
        <item x="0"/>
        <item m="1" x="36"/>
        <item m="1" x="24"/>
        <item m="1" x="32"/>
        <item m="1" x="40"/>
        <item m="1" x="30"/>
        <item m="1" x="15"/>
        <item m="1" x="41"/>
        <item x="2"/>
        <item x="5"/>
        <item m="1" x="29"/>
        <item m="1" x="38"/>
        <item m="1" x="16"/>
        <item m="1" x="33"/>
        <item x="1"/>
        <item m="1" x="35"/>
        <item m="1" x="28"/>
        <item m="1" x="42"/>
        <item m="1" x="43"/>
        <item x="6"/>
        <item m="1" x="44"/>
        <item m="1" x="45"/>
        <item x="7"/>
        <item x="8"/>
        <item x="9"/>
        <item m="1" x="46"/>
        <item m="1" x="47"/>
        <item m="1" x="48"/>
        <item m="1" x="49"/>
        <item x="10"/>
        <item m="1" x="50"/>
        <item m="1" x="17"/>
        <item m="1" x="51"/>
        <item m="1" x="52"/>
        <item m="1" x="53"/>
        <item m="1" x="54"/>
        <item m="1" x="55"/>
        <item x="11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28">
        <item m="1" x="26"/>
        <item m="1" x="5"/>
        <item m="1" x="14"/>
        <item m="1" x="8"/>
        <item m="1" x="2"/>
        <item m="1" x="6"/>
        <item m="1" x="22"/>
        <item m="1" x="11"/>
        <item m="1" x="3"/>
        <item m="1" x="10"/>
        <item m="1" x="16"/>
        <item m="1" x="17"/>
        <item m="1" x="20"/>
        <item m="1" x="15"/>
        <item m="1" x="19"/>
        <item m="1" x="23"/>
        <item m="1" x="24"/>
        <item h="1" m="1" x="7"/>
        <item m="1" x="18"/>
        <item m="1" x="25"/>
        <item m="1" x="4"/>
        <item m="1" x="9"/>
        <item x="0"/>
        <item m="1" x="13"/>
        <item h="1" m="1" x="21"/>
        <item m="1" x="12"/>
        <item h="1" x="1"/>
        <item t="default"/>
      </items>
    </pivotField>
    <pivotField axis="axisRow" outline="0" showAll="0" defaultSubtotal="0">
      <items count="48">
        <item m="1" x="28"/>
        <item m="1" x="47"/>
        <item m="1" x="7"/>
        <item m="1" x="16"/>
        <item m="1" x="36"/>
        <item m="1" x="11"/>
        <item m="1" x="2"/>
        <item m="1" x="25"/>
        <item m="1" x="26"/>
        <item m="1" x="18"/>
        <item m="1" x="19"/>
        <item m="1" x="3"/>
        <item m="1" x="15"/>
        <item m="1" x="6"/>
        <item m="1" x="45"/>
        <item m="1" x="40"/>
        <item m="1" x="9"/>
        <item m="1" x="23"/>
        <item m="1" x="34"/>
        <item m="1" x="5"/>
        <item m="1" x="30"/>
        <item m="1" x="46"/>
        <item m="1" x="38"/>
        <item m="1" x="31"/>
        <item m="1" x="4"/>
        <item m="1" x="20"/>
        <item m="1" x="39"/>
        <item m="1" x="21"/>
        <item m="1" x="27"/>
        <item m="1" x="10"/>
        <item m="1" x="42"/>
        <item m="1" x="8"/>
        <item m="1" x="22"/>
        <item m="1" x="41"/>
        <item x="0"/>
        <item m="1" x="44"/>
        <item m="1" x="29"/>
        <item m="1" x="13"/>
        <item m="1" x="12"/>
        <item m="1" x="43"/>
        <item m="1" x="17"/>
        <item m="1" x="14"/>
        <item m="1" x="37"/>
        <item m="1" x="35"/>
        <item m="1" x="24"/>
        <item m="1" x="32"/>
        <item m="1" x="33"/>
        <item x="1"/>
      </items>
    </pivotField>
    <pivotField showAll="0"/>
    <pivotField showAll="0"/>
    <pivotField showAll="0"/>
    <pivotField axis="axisRow" outline="0" showAll="0" defaultSubtotal="0">
      <items count="43">
        <item m="1" x="32"/>
        <item m="1" x="33"/>
        <item m="1" x="28"/>
        <item m="1" x="37"/>
        <item m="1" x="34"/>
        <item m="1" x="19"/>
        <item m="1" x="22"/>
        <item m="1" x="21"/>
        <item m="1" x="38"/>
        <item x="2"/>
        <item m="1" x="27"/>
        <item m="1" x="17"/>
        <item m="1" x="30"/>
        <item m="1" x="35"/>
        <item x="1"/>
        <item m="1" x="18"/>
        <item m="1" x="40"/>
        <item m="1" x="23"/>
        <item m="1" x="15"/>
        <item m="1" x="9"/>
        <item m="1" x="5"/>
        <item m="1" x="14"/>
        <item m="1" x="4"/>
        <item m="1" x="24"/>
        <item m="1" x="7"/>
        <item m="1" x="25"/>
        <item m="1" x="16"/>
        <item m="1" x="10"/>
        <item m="1" x="31"/>
        <item m="1" x="6"/>
        <item x="0"/>
        <item m="1" x="8"/>
        <item m="1" x="20"/>
        <item m="1" x="12"/>
        <item m="1" x="39"/>
        <item m="1" x="26"/>
        <item m="1" x="36"/>
        <item m="1" x="29"/>
        <item m="1" x="11"/>
        <item m="1" x="13"/>
        <item m="1" x="41"/>
        <item m="1" x="42"/>
        <item x="3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6">
    <i>
      <x v="22"/>
      <x/>
      <x v="34"/>
      <x v="2"/>
      <x v="30"/>
    </i>
    <i r="3">
      <x v="19"/>
      <x v="30"/>
    </i>
    <i r="3">
      <x v="20"/>
      <x v="30"/>
    </i>
    <i r="3">
      <x v="34"/>
      <x v="30"/>
    </i>
    <i t="default" r="1">
      <x/>
    </i>
    <i r="1">
      <x v="1"/>
      <x v="34"/>
      <x v="39"/>
      <x v="14"/>
    </i>
    <i r="3">
      <x v="42"/>
      <x v="14"/>
    </i>
    <i r="3">
      <x v="43"/>
      <x v="14"/>
    </i>
    <i r="3">
      <x v="44"/>
      <x v="30"/>
    </i>
    <i r="3">
      <x v="49"/>
      <x v="9"/>
    </i>
    <i t="default" r="1">
      <x v="1"/>
    </i>
    <i r="1">
      <x v="2"/>
      <x v="34"/>
      <x v="28"/>
      <x v="30"/>
    </i>
    <i r="3">
      <x v="29"/>
      <x v="30"/>
    </i>
    <i t="default" r="1">
      <x v="2"/>
    </i>
    <i t="default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41" numFmtId="164"/>
    <dataField name="Soma de Total Cost" fld="15" baseField="14" baseItem="41" numFmtId="165"/>
  </dataFields>
  <formats count="310">
    <format dxfId="310">
      <pivotArea field="14" type="button" dataOnly="0" labelOnly="1" outline="0" axis="axisRow" fieldPosition="4"/>
    </format>
    <format dxfId="311">
      <pivotArea dataOnly="0" labelOnly="1" fieldPosition="0">
        <references count="1">
          <reference field="9" count="1" defaultSubtotal="1">
            <x v="0"/>
          </reference>
        </references>
      </pivotArea>
    </format>
    <format dxfId="312">
      <pivotArea dataOnly="0" labelOnly="1" fieldPosition="0">
        <references count="1">
          <reference field="9" count="1" defaultSubtotal="1">
            <x v="1"/>
          </reference>
        </references>
      </pivotArea>
    </format>
    <format dxfId="313">
      <pivotArea dataOnly="0" labelOnly="1" fieldPosition="0">
        <references count="1">
          <reference field="9" count="1" defaultSubtotal="1">
            <x v="2"/>
          </reference>
        </references>
      </pivotArea>
    </format>
    <format dxfId="314">
      <pivotArea dataOnly="0" labelOnly="1" fieldPosition="0">
        <references count="1">
          <reference field="9" count="1" defaultSubtotal="1">
            <x v="3"/>
          </reference>
        </references>
      </pivotArea>
    </format>
    <format dxfId="315">
      <pivotArea dataOnly="0" labelOnly="1" fieldPosition="0">
        <references count="1">
          <reference field="9" count="1" defaultSubtotal="1">
            <x v="4"/>
          </reference>
        </references>
      </pivotArea>
    </format>
    <format dxfId="316">
      <pivotArea dataOnly="0" labelOnly="1" fieldPosition="0">
        <references count="1">
          <reference field="9" count="1" defaultSubtotal="1">
            <x v="5"/>
          </reference>
        </references>
      </pivotArea>
    </format>
    <format dxfId="317">
      <pivotArea dataOnly="0" labelOnly="1" fieldPosition="0">
        <references count="1">
          <reference field="9" count="1" defaultSubtotal="1">
            <x v="6"/>
          </reference>
        </references>
      </pivotArea>
    </format>
    <format dxfId="318">
      <pivotArea dataOnly="0" labelOnly="1" fieldPosition="0">
        <references count="1">
          <reference field="9" count="1" defaultSubtotal="1">
            <x v="7"/>
          </reference>
        </references>
      </pivotArea>
    </format>
    <format dxfId="319">
      <pivotArea dataOnly="0" labelOnly="1" fieldPosition="0">
        <references count="1">
          <reference field="9" count="1" defaultSubtotal="1">
            <x v="8"/>
          </reference>
        </references>
      </pivotArea>
    </format>
    <format dxfId="320">
      <pivotArea dataOnly="0" labelOnly="1" fieldPosition="0">
        <references count="1">
          <reference field="9" count="1" defaultSubtotal="1">
            <x v="9"/>
          </reference>
        </references>
      </pivotArea>
    </format>
    <format dxfId="321">
      <pivotArea dataOnly="0" labelOnly="1" fieldPosition="0">
        <references count="1">
          <reference field="9" count="1" defaultSubtotal="1">
            <x v="10"/>
          </reference>
        </references>
      </pivotArea>
    </format>
    <format dxfId="322">
      <pivotArea dataOnly="0" labelOnly="1" fieldPosition="0">
        <references count="1">
          <reference field="9" count="1" defaultSubtotal="1">
            <x v="11"/>
          </reference>
        </references>
      </pivotArea>
    </format>
    <format dxfId="323">
      <pivotArea dataOnly="0" labelOnly="1" fieldPosition="0">
        <references count="1">
          <reference field="9" count="1" defaultSubtotal="1">
            <x v="12"/>
          </reference>
        </references>
      </pivotArea>
    </format>
    <format dxfId="324">
      <pivotArea dataOnly="0" labelOnly="1" fieldPosition="0">
        <references count="1">
          <reference field="9" count="1" defaultSubtotal="1">
            <x v="13"/>
          </reference>
        </references>
      </pivotArea>
    </format>
    <format dxfId="325">
      <pivotArea dataOnly="0" labelOnly="1" fieldPosition="0">
        <references count="1">
          <reference field="9" count="1" defaultSubtotal="1">
            <x v="14"/>
          </reference>
        </references>
      </pivotArea>
    </format>
    <format dxfId="326">
      <pivotArea dataOnly="0" labelOnly="1" fieldPosition="0">
        <references count="1">
          <reference field="9" count="1" defaultSubtotal="1">
            <x v="15"/>
          </reference>
        </references>
      </pivotArea>
    </format>
    <format dxfId="327">
      <pivotArea dataOnly="0" labelOnly="1" fieldPosition="0">
        <references count="1">
          <reference field="9" count="1" defaultSubtotal="1">
            <x v="16"/>
          </reference>
        </references>
      </pivotArea>
    </format>
    <format dxfId="328">
      <pivotArea dataOnly="0" labelOnly="1" fieldPosition="0">
        <references count="1">
          <reference field="9" count="1" defaultSubtotal="1">
            <x v="17"/>
          </reference>
        </references>
      </pivotArea>
    </format>
    <format dxfId="329">
      <pivotArea dataOnly="0" labelOnly="1" fieldPosition="0">
        <references count="1">
          <reference field="9" count="1" defaultSubtotal="1">
            <x v="18"/>
          </reference>
        </references>
      </pivotArea>
    </format>
    <format dxfId="330">
      <pivotArea dataOnly="0" labelOnly="1" fieldPosition="0">
        <references count="1">
          <reference field="9" count="1" defaultSubtotal="1">
            <x v="19"/>
          </reference>
        </references>
      </pivotArea>
    </format>
    <format dxfId="331">
      <pivotArea dataOnly="0" labelOnly="1" fieldPosition="0">
        <references count="1">
          <reference field="9" count="1" defaultSubtotal="1">
            <x v="20"/>
          </reference>
        </references>
      </pivotArea>
    </format>
    <format dxfId="332">
      <pivotArea dataOnly="0" labelOnly="1" fieldPosition="0">
        <references count="1">
          <reference field="9" count="1" defaultSubtotal="1">
            <x v="21"/>
          </reference>
        </references>
      </pivotArea>
    </format>
    <format dxfId="333">
      <pivotArea dataOnly="0" labelOnly="1" fieldPosition="0">
        <references count="1">
          <reference field="9" count="1" defaultSubtotal="1">
            <x v="22"/>
          </reference>
        </references>
      </pivotArea>
    </format>
    <format dxfId="334">
      <pivotArea dataOnly="0" labelOnly="1" fieldPosition="0">
        <references count="1">
          <reference field="9" count="1" defaultSubtotal="1">
            <x v="23"/>
          </reference>
        </references>
      </pivotArea>
    </format>
    <format dxfId="335">
      <pivotArea dataOnly="0" labelOnly="1" fieldPosition="0">
        <references count="1">
          <reference field="9" count="1" defaultSubtotal="1">
            <x v="24"/>
          </reference>
        </references>
      </pivotArea>
    </format>
    <format dxfId="336">
      <pivotArea dataOnly="0" labelOnly="1" fieldPosition="0">
        <references count="1">
          <reference field="9" count="1" defaultSubtotal="1">
            <x v="25"/>
          </reference>
        </references>
      </pivotArea>
    </format>
    <format dxfId="337">
      <pivotArea dataOnly="0" labelOnly="1" fieldPosition="0">
        <references count="1">
          <reference field="9" count="1" defaultSubtotal="1">
            <x v="26"/>
          </reference>
        </references>
      </pivotArea>
    </format>
    <format dxfId="338">
      <pivotArea dataOnly="0" labelOnly="1" grandRow="1" outline="0" fieldPosition="0"/>
    </format>
    <format dxfId="339">
      <pivotArea dataOnly="0" labelOnly="1" fieldPosition="0">
        <references count="2">
          <reference field="9" count="1" selected="0">
            <x v="0"/>
          </reference>
          <reference field="17" count="1" defaultSubtotal="1">
            <x v="1"/>
          </reference>
        </references>
      </pivotArea>
    </format>
    <format dxfId="340">
      <pivotArea dataOnly="0" labelOnly="1" fieldPosition="0">
        <references count="2">
          <reference field="9" count="1" selected="0">
            <x v="1"/>
          </reference>
          <reference field="17" count="1" defaultSubtotal="1">
            <x v="0"/>
          </reference>
        </references>
      </pivotArea>
    </format>
    <format dxfId="341">
      <pivotArea dataOnly="0" labelOnly="1" fieldPosition="0">
        <references count="2">
          <reference field="9" count="1" selected="0">
            <x v="1"/>
          </reference>
          <reference field="17" count="1" defaultSubtotal="1">
            <x v="2"/>
          </reference>
        </references>
      </pivotArea>
    </format>
    <format dxfId="342">
      <pivotArea dataOnly="0" labelOnly="1" fieldPosition="0">
        <references count="2">
          <reference field="9" count="1" selected="0">
            <x v="2"/>
          </reference>
          <reference field="17" count="1" defaultSubtotal="1">
            <x v="0"/>
          </reference>
        </references>
      </pivotArea>
    </format>
    <format dxfId="343">
      <pivotArea dataOnly="0" labelOnly="1" fieldPosition="0">
        <references count="2">
          <reference field="9" count="1" selected="0">
            <x v="2"/>
          </reference>
          <reference field="17" count="1" defaultSubtotal="1">
            <x v="1"/>
          </reference>
        </references>
      </pivotArea>
    </format>
    <format dxfId="344">
      <pivotArea dataOnly="0" labelOnly="1" fieldPosition="0">
        <references count="2">
          <reference field="9" count="1" selected="0">
            <x v="2"/>
          </reference>
          <reference field="17" count="1" defaultSubtotal="1">
            <x v="2"/>
          </reference>
        </references>
      </pivotArea>
    </format>
    <format dxfId="345">
      <pivotArea dataOnly="0" labelOnly="1" fieldPosition="0">
        <references count="2">
          <reference field="9" count="1" selected="0">
            <x v="3"/>
          </reference>
          <reference field="17" count="1" defaultSubtotal="1">
            <x v="0"/>
          </reference>
        </references>
      </pivotArea>
    </format>
    <format dxfId="346">
      <pivotArea dataOnly="0" labelOnly="1" fieldPosition="0">
        <references count="2">
          <reference field="9" count="1" selected="0">
            <x v="3"/>
          </reference>
          <reference field="17" count="1" defaultSubtotal="1">
            <x v="1"/>
          </reference>
        </references>
      </pivotArea>
    </format>
    <format dxfId="347">
      <pivotArea dataOnly="0" labelOnly="1" fieldPosition="0">
        <references count="2">
          <reference field="9" count="1" selected="0">
            <x v="3"/>
          </reference>
          <reference field="17" count="1" defaultSubtotal="1">
            <x v="2"/>
          </reference>
        </references>
      </pivotArea>
    </format>
    <format dxfId="348">
      <pivotArea dataOnly="0" labelOnly="1" fieldPosition="0">
        <references count="2">
          <reference field="9" count="1" selected="0">
            <x v="4"/>
          </reference>
          <reference field="17" count="1" defaultSubtotal="1">
            <x v="0"/>
          </reference>
        </references>
      </pivotArea>
    </format>
    <format dxfId="349">
      <pivotArea dataOnly="0" labelOnly="1" fieldPosition="0">
        <references count="2">
          <reference field="9" count="1" selected="0">
            <x v="4"/>
          </reference>
          <reference field="17" count="1" defaultSubtotal="1">
            <x v="1"/>
          </reference>
        </references>
      </pivotArea>
    </format>
    <format dxfId="350">
      <pivotArea dataOnly="0" labelOnly="1" fieldPosition="0">
        <references count="2">
          <reference field="9" count="1" selected="0">
            <x v="4"/>
          </reference>
          <reference field="17" count="1" defaultSubtotal="1">
            <x v="2"/>
          </reference>
        </references>
      </pivotArea>
    </format>
    <format dxfId="351">
      <pivotArea dataOnly="0" labelOnly="1" fieldPosition="0">
        <references count="2">
          <reference field="9" count="1" selected="0">
            <x v="5"/>
          </reference>
          <reference field="17" count="1" defaultSubtotal="1">
            <x v="0"/>
          </reference>
        </references>
      </pivotArea>
    </format>
    <format dxfId="352">
      <pivotArea dataOnly="0" labelOnly="1" fieldPosition="0">
        <references count="2">
          <reference field="9" count="1" selected="0">
            <x v="5"/>
          </reference>
          <reference field="17" count="1" defaultSubtotal="1">
            <x v="1"/>
          </reference>
        </references>
      </pivotArea>
    </format>
    <format dxfId="353">
      <pivotArea dataOnly="0" labelOnly="1" fieldPosition="0">
        <references count="2">
          <reference field="9" count="1" selected="0">
            <x v="5"/>
          </reference>
          <reference field="17" count="1" defaultSubtotal="1">
            <x v="2"/>
          </reference>
        </references>
      </pivotArea>
    </format>
    <format dxfId="354">
      <pivotArea dataOnly="0" labelOnly="1" fieldPosition="0">
        <references count="2">
          <reference field="9" count="1" selected="0">
            <x v="6"/>
          </reference>
          <reference field="17" count="1" defaultSubtotal="1">
            <x v="1"/>
          </reference>
        </references>
      </pivotArea>
    </format>
    <format dxfId="355">
      <pivotArea dataOnly="0" labelOnly="1" fieldPosition="0">
        <references count="2">
          <reference field="9" count="1" selected="0">
            <x v="7"/>
          </reference>
          <reference field="17" count="1" defaultSubtotal="1">
            <x v="0"/>
          </reference>
        </references>
      </pivotArea>
    </format>
    <format dxfId="356">
      <pivotArea dataOnly="0" labelOnly="1" fieldPosition="0">
        <references count="2">
          <reference field="9" count="1" selected="0">
            <x v="7"/>
          </reference>
          <reference field="17" count="1" defaultSubtotal="1">
            <x v="2"/>
          </reference>
        </references>
      </pivotArea>
    </format>
    <format dxfId="357">
      <pivotArea dataOnly="0" labelOnly="1" fieldPosition="0">
        <references count="2">
          <reference field="9" count="1" selected="0">
            <x v="8"/>
          </reference>
          <reference field="17" count="1" defaultSubtotal="1">
            <x v="0"/>
          </reference>
        </references>
      </pivotArea>
    </format>
    <format dxfId="358">
      <pivotArea dataOnly="0" labelOnly="1" fieldPosition="0">
        <references count="2">
          <reference field="9" count="1" selected="0">
            <x v="8"/>
          </reference>
          <reference field="17" count="1" defaultSubtotal="1">
            <x v="1"/>
          </reference>
        </references>
      </pivotArea>
    </format>
    <format dxfId="359">
      <pivotArea dataOnly="0" labelOnly="1" fieldPosition="0">
        <references count="2">
          <reference field="9" count="1" selected="0">
            <x v="8"/>
          </reference>
          <reference field="17" count="1" defaultSubtotal="1">
            <x v="2"/>
          </reference>
        </references>
      </pivotArea>
    </format>
    <format dxfId="360">
      <pivotArea dataOnly="0" labelOnly="1" fieldPosition="0">
        <references count="2">
          <reference field="9" count="1" selected="0">
            <x v="9"/>
          </reference>
          <reference field="17" count="1" defaultSubtotal="1">
            <x v="0"/>
          </reference>
        </references>
      </pivotArea>
    </format>
    <format dxfId="361">
      <pivotArea dataOnly="0" labelOnly="1" fieldPosition="0">
        <references count="2">
          <reference field="9" count="1" selected="0">
            <x v="9"/>
          </reference>
          <reference field="17" count="1" defaultSubtotal="1">
            <x v="1"/>
          </reference>
        </references>
      </pivotArea>
    </format>
    <format dxfId="362">
      <pivotArea dataOnly="0" labelOnly="1" fieldPosition="0">
        <references count="2">
          <reference field="9" count="1" selected="0">
            <x v="9"/>
          </reference>
          <reference field="17" count="1" defaultSubtotal="1">
            <x v="2"/>
          </reference>
        </references>
      </pivotArea>
    </format>
    <format dxfId="363">
      <pivotArea dataOnly="0" labelOnly="1" fieldPosition="0">
        <references count="2">
          <reference field="9" count="1" selected="0">
            <x v="10"/>
          </reference>
          <reference field="17" count="1" defaultSubtotal="1">
            <x v="0"/>
          </reference>
        </references>
      </pivotArea>
    </format>
    <format dxfId="364">
      <pivotArea dataOnly="0" labelOnly="1" fieldPosition="0">
        <references count="2">
          <reference field="9" count="1" selected="0">
            <x v="10"/>
          </reference>
          <reference field="17" count="1" defaultSubtotal="1">
            <x v="1"/>
          </reference>
        </references>
      </pivotArea>
    </format>
    <format dxfId="365">
      <pivotArea dataOnly="0" labelOnly="1" fieldPosition="0">
        <references count="2">
          <reference field="9" count="1" selected="0">
            <x v="10"/>
          </reference>
          <reference field="17" count="1" defaultSubtotal="1">
            <x v="2"/>
          </reference>
        </references>
      </pivotArea>
    </format>
    <format dxfId="366">
      <pivotArea dataOnly="0" labelOnly="1" fieldPosition="0">
        <references count="2">
          <reference field="9" count="1" selected="0">
            <x v="11"/>
          </reference>
          <reference field="17" count="1" defaultSubtotal="1">
            <x v="0"/>
          </reference>
        </references>
      </pivotArea>
    </format>
    <format dxfId="367">
      <pivotArea dataOnly="0" labelOnly="1" fieldPosition="0">
        <references count="2">
          <reference field="9" count="1" selected="0">
            <x v="11"/>
          </reference>
          <reference field="17" count="1" defaultSubtotal="1">
            <x v="2"/>
          </reference>
        </references>
      </pivotArea>
    </format>
    <format dxfId="368">
      <pivotArea dataOnly="0" labelOnly="1" fieldPosition="0">
        <references count="2">
          <reference field="9" count="1" selected="0">
            <x v="12"/>
          </reference>
          <reference field="17" count="1" defaultSubtotal="1">
            <x v="2"/>
          </reference>
        </references>
      </pivotArea>
    </format>
    <format dxfId="369">
      <pivotArea dataOnly="0" labelOnly="1" fieldPosition="0">
        <references count="2">
          <reference field="9" count="1" selected="0">
            <x v="13"/>
          </reference>
          <reference field="17" count="1" defaultSubtotal="1">
            <x v="0"/>
          </reference>
        </references>
      </pivotArea>
    </format>
    <format dxfId="370">
      <pivotArea dataOnly="0" labelOnly="1" fieldPosition="0">
        <references count="2">
          <reference field="9" count="1" selected="0">
            <x v="13"/>
          </reference>
          <reference field="17" count="1" defaultSubtotal="1">
            <x v="1"/>
          </reference>
        </references>
      </pivotArea>
    </format>
    <format dxfId="371">
      <pivotArea dataOnly="0" labelOnly="1" fieldPosition="0">
        <references count="2">
          <reference field="9" count="1" selected="0">
            <x v="13"/>
          </reference>
          <reference field="17" count="1" defaultSubtotal="1">
            <x v="2"/>
          </reference>
        </references>
      </pivotArea>
    </format>
    <format dxfId="372">
      <pivotArea dataOnly="0" labelOnly="1" fieldPosition="0">
        <references count="2">
          <reference field="9" count="1" selected="0">
            <x v="14"/>
          </reference>
          <reference field="17" count="1" defaultSubtotal="1">
            <x v="1"/>
          </reference>
        </references>
      </pivotArea>
    </format>
    <format dxfId="373">
      <pivotArea dataOnly="0" labelOnly="1" fieldPosition="0">
        <references count="2">
          <reference field="9" count="1" selected="0">
            <x v="14"/>
          </reference>
          <reference field="17" count="1" defaultSubtotal="1">
            <x v="2"/>
          </reference>
        </references>
      </pivotArea>
    </format>
    <format dxfId="374">
      <pivotArea dataOnly="0" labelOnly="1" fieldPosition="0">
        <references count="2">
          <reference field="9" count="1" selected="0">
            <x v="15"/>
          </reference>
          <reference field="17" count="1" defaultSubtotal="1">
            <x v="1"/>
          </reference>
        </references>
      </pivotArea>
    </format>
    <format dxfId="375">
      <pivotArea dataOnly="0" labelOnly="1" fieldPosition="0">
        <references count="2">
          <reference field="9" count="1" selected="0">
            <x v="16"/>
          </reference>
          <reference field="17" count="1" defaultSubtotal="1">
            <x v="1"/>
          </reference>
        </references>
      </pivotArea>
    </format>
    <format dxfId="376">
      <pivotArea dataOnly="0" labelOnly="1" fieldPosition="0">
        <references count="2">
          <reference field="9" count="1" selected="0">
            <x v="17"/>
          </reference>
          <reference field="17" count="1" defaultSubtotal="1">
            <x v="2"/>
          </reference>
        </references>
      </pivotArea>
    </format>
    <format dxfId="377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0"/>
          </reference>
        </references>
      </pivotArea>
    </format>
    <format dxfId="378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1"/>
          </reference>
        </references>
      </pivotArea>
    </format>
    <format dxfId="379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2"/>
          </reference>
        </references>
      </pivotArea>
    </format>
    <format dxfId="380">
      <pivotArea dataOnly="0" labelOnly="1" fieldPosition="0">
        <references count="2">
          <reference field="9" count="1" selected="0">
            <x v="19"/>
          </reference>
          <reference field="17" count="1" defaultSubtotal="1">
            <x v="1"/>
          </reference>
        </references>
      </pivotArea>
    </format>
    <format dxfId="381">
      <pivotArea dataOnly="0" labelOnly="1" fieldPosition="0">
        <references count="2">
          <reference field="9" count="1" selected="0">
            <x v="20"/>
          </reference>
          <reference field="17" count="1" defaultSubtotal="1">
            <x v="0"/>
          </reference>
        </references>
      </pivotArea>
    </format>
    <format dxfId="382">
      <pivotArea dataOnly="0" labelOnly="1" fieldPosition="0">
        <references count="2">
          <reference field="9" count="1" selected="0">
            <x v="20"/>
          </reference>
          <reference field="17" count="1" defaultSubtotal="1">
            <x v="2"/>
          </reference>
        </references>
      </pivotArea>
    </format>
    <format dxfId="383">
      <pivotArea dataOnly="0" labelOnly="1" fieldPosition="0">
        <references count="2">
          <reference field="9" count="1" selected="0">
            <x v="21"/>
          </reference>
          <reference field="17" count="1" defaultSubtotal="1">
            <x v="0"/>
          </reference>
        </references>
      </pivotArea>
    </format>
    <format dxfId="384">
      <pivotArea dataOnly="0" labelOnly="1" fieldPosition="0">
        <references count="2">
          <reference field="9" count="1" selected="0">
            <x v="21"/>
          </reference>
          <reference field="17" count="1" defaultSubtotal="1">
            <x v="1"/>
          </reference>
        </references>
      </pivotArea>
    </format>
    <format dxfId="385">
      <pivotArea dataOnly="0" labelOnly="1" fieldPosition="0">
        <references count="2">
          <reference field="9" count="1" selected="0">
            <x v="21"/>
          </reference>
          <reference field="17" count="1" defaultSubtotal="1">
            <x v="2"/>
          </reference>
        </references>
      </pivotArea>
    </format>
    <format dxfId="386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0"/>
          </reference>
        </references>
      </pivotArea>
    </format>
    <format dxfId="387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1"/>
          </reference>
        </references>
      </pivotArea>
    </format>
    <format dxfId="388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2"/>
          </reference>
        </references>
      </pivotArea>
    </format>
    <format dxfId="389">
      <pivotArea dataOnly="0" labelOnly="1" fieldPosition="0">
        <references count="2">
          <reference field="9" count="1" selected="0">
            <x v="23"/>
          </reference>
          <reference field="17" count="1" defaultSubtotal="1">
            <x v="0"/>
          </reference>
        </references>
      </pivotArea>
    </format>
    <format dxfId="390">
      <pivotArea dataOnly="0" labelOnly="1" fieldPosition="0">
        <references count="2">
          <reference field="9" count="1" selected="0">
            <x v="23"/>
          </reference>
          <reference field="17" count="1" defaultSubtotal="1">
            <x v="1"/>
          </reference>
        </references>
      </pivotArea>
    </format>
    <format dxfId="391">
      <pivotArea dataOnly="0" labelOnly="1" fieldPosition="0">
        <references count="2">
          <reference field="9" count="1" selected="0">
            <x v="24"/>
          </reference>
          <reference field="17" count="1" defaultSubtotal="1">
            <x v="2"/>
          </reference>
        </references>
      </pivotArea>
    </format>
    <format dxfId="392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0"/>
          </reference>
        </references>
      </pivotArea>
    </format>
    <format dxfId="393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1"/>
          </reference>
        </references>
      </pivotArea>
    </format>
    <format dxfId="394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2"/>
          </reference>
        </references>
      </pivotArea>
    </format>
    <format dxfId="395">
      <pivotArea dataOnly="0" labelOnly="1" fieldPosition="0">
        <references count="2">
          <reference field="9" count="1" selected="0">
            <x v="26"/>
          </reference>
          <reference field="17" count="1" defaultSubtotal="1">
            <x v="3"/>
          </reference>
        </references>
      </pivotArea>
    </format>
    <format dxfId="396">
      <pivotArea dataOnly="0" labelOnly="1" fieldPosition="0">
        <references count="5">
          <reference field="0" count="1" selected="0">
            <x v="37"/>
          </reference>
          <reference field="9" count="1" selected="0">
            <x v="0"/>
          </reference>
          <reference field="10" count="1" selected="0">
            <x v="1"/>
          </reference>
          <reference field="14" count="1">
            <x v="41"/>
          </reference>
          <reference field="17" count="1" selected="0">
            <x v="1"/>
          </reference>
        </references>
      </pivotArea>
    </format>
    <format dxfId="397">
      <pivotArea dataOnly="0" labelOnly="1" fieldPosition="0">
        <references count="5">
          <reference field="0" count="1" selected="0">
            <x v="2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398">
      <pivotArea dataOnly="0" labelOnly="1" fieldPosition="0">
        <references count="5">
          <reference field="0" count="1" selected="0">
            <x v="8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399">
      <pivotArea dataOnly="0" labelOnly="1" fieldPosition="0">
        <references count="5">
          <reference field="0" count="1" selected="0">
            <x v="23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00">
      <pivotArea dataOnly="0" labelOnly="1" fieldPosition="0">
        <references count="5">
          <reference field="0" count="1" selected="0">
            <x v="34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01">
      <pivotArea dataOnly="0" labelOnly="1" fieldPosition="0">
        <references count="5">
          <reference field="0" count="1" selected="0">
            <x v="3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402">
      <pivotArea dataOnly="0" labelOnly="1" fieldPosition="0">
        <references count="5">
          <reference field="0" count="1" selected="0">
            <x v="18"/>
          </reference>
          <reference field="9" count="1" selected="0">
            <x v="1"/>
          </reference>
          <reference field="10" count="1" selected="0">
            <x v="13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403">
      <pivotArea dataOnly="0" labelOnly="1" fieldPosition="0">
        <references count="5">
          <reference field="0" count="1" selected="0">
            <x v="20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04">
      <pivotArea dataOnly="0" labelOnly="1" fieldPosition="0">
        <references count="5">
          <reference field="0" count="1" selected="0">
            <x v="49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05">
      <pivotArea dataOnly="0" labelOnly="1" fieldPosition="0">
        <references count="5">
          <reference field="0" count="1" selected="0">
            <x v="3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406">
      <pivotArea dataOnly="0" labelOnly="1" fieldPosition="0">
        <references count="5">
          <reference field="0" count="1" selected="0">
            <x v="13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407">
      <pivotArea dataOnly="0" labelOnly="1" fieldPosition="0">
        <references count="5">
          <reference field="0" count="1" selected="0">
            <x v="17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408">
      <pivotArea dataOnly="0" labelOnly="1" fieldPosition="0">
        <references count="5">
          <reference field="0" count="1" selected="0">
            <x v="28"/>
          </reference>
          <reference field="9" count="1" selected="0">
            <x v="2"/>
          </reference>
          <reference field="10" count="1" selected="0">
            <x v="25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409">
      <pivotArea dataOnly="0" labelOnly="1" fieldPosition="0">
        <references count="5">
          <reference field="0" count="1" selected="0">
            <x v="14"/>
          </reference>
          <reference field="9" count="1" selected="0">
            <x v="3"/>
          </reference>
          <reference field="10" count="1" selected="0">
            <x v="38"/>
          </reference>
          <reference field="14" count="1">
            <x v="38"/>
          </reference>
          <reference field="17" count="1" selected="0">
            <x v="0"/>
          </reference>
        </references>
      </pivotArea>
    </format>
    <format dxfId="410">
      <pivotArea dataOnly="0" labelOnly="1" fieldPosition="0">
        <references count="5">
          <reference field="0" count="1" selected="0">
            <x v="19"/>
          </reference>
          <reference field="9" count="1" selected="0">
            <x v="3"/>
          </reference>
          <reference field="10" count="1" selected="0">
            <x v="45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11">
      <pivotArea dataOnly="0" labelOnly="1" fieldPosition="0">
        <references count="5">
          <reference field="0" count="1" selected="0">
            <x v="23"/>
          </reference>
          <reference field="9" count="1" selected="0">
            <x v="3"/>
          </reference>
          <reference field="10" count="1" selected="0">
            <x v="45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12">
      <pivotArea dataOnly="0" labelOnly="1" fieldPosition="0">
        <references count="5">
          <reference field="0" count="1" selected="0">
            <x v="48"/>
          </reference>
          <reference field="9" count="1" selected="0">
            <x v="3"/>
          </reference>
          <reference field="10" count="1" selected="0">
            <x v="38"/>
          </reference>
          <reference field="14" count="1">
            <x v="32"/>
          </reference>
          <reference field="17" count="1" selected="0">
            <x v="1"/>
          </reference>
        </references>
      </pivotArea>
    </format>
    <format dxfId="413">
      <pivotArea dataOnly="0" labelOnly="1" fieldPosition="0">
        <references count="5">
          <reference field="0" count="1" selected="0">
            <x v="48"/>
          </reference>
          <reference field="9" count="1" selected="0">
            <x v="3"/>
          </reference>
          <reference field="10" count="1" selected="0">
            <x v="39"/>
          </reference>
          <reference field="14" count="1">
            <x v="32"/>
          </reference>
          <reference field="17" count="1" selected="0">
            <x v="1"/>
          </reference>
        </references>
      </pivotArea>
    </format>
    <format dxfId="414">
      <pivotArea dataOnly="0" labelOnly="1" fieldPosition="0">
        <references count="5">
          <reference field="0" count="1" selected="0">
            <x v="56"/>
          </reference>
          <reference field="9" count="1" selected="0">
            <x v="3"/>
          </reference>
          <reference field="10" count="1" selected="0">
            <x v="45"/>
          </reference>
          <reference field="14" count="1">
            <x v="32"/>
          </reference>
          <reference field="17" count="1" selected="0">
            <x v="1"/>
          </reference>
        </references>
      </pivotArea>
    </format>
    <format dxfId="415">
      <pivotArea dataOnly="0" labelOnly="1" fieldPosition="0">
        <references count="5">
          <reference field="0" count="1" selected="0">
            <x v="13"/>
          </reference>
          <reference field="9" count="1" selected="0">
            <x v="3"/>
          </reference>
          <reference field="10" count="1" selected="0">
            <x v="38"/>
          </reference>
          <reference field="14" count="1">
            <x v="38"/>
          </reference>
          <reference field="17" count="1" selected="0">
            <x v="2"/>
          </reference>
        </references>
      </pivotArea>
    </format>
    <format dxfId="416">
      <pivotArea dataOnly="0" labelOnly="1" fieldPosition="0">
        <references count="5">
          <reference field="0" count="1" selected="0">
            <x v="15"/>
          </reference>
          <reference field="9" count="1" selected="0">
            <x v="3"/>
          </reference>
          <reference field="10" count="1" selected="0">
            <x v="38"/>
          </reference>
          <reference field="14" count="1">
            <x v="38"/>
          </reference>
          <reference field="17" count="1" selected="0">
            <x v="2"/>
          </reference>
        </references>
      </pivotArea>
    </format>
    <format dxfId="417">
      <pivotArea dataOnly="0" labelOnly="1" fieldPosition="0">
        <references count="5">
          <reference field="0" count="1" selected="0">
            <x v="18"/>
          </reference>
          <reference field="9" count="1" selected="0">
            <x v="3"/>
          </reference>
          <reference field="10" count="1" selected="0">
            <x v="38"/>
          </reference>
          <reference field="14" count="1">
            <x v="38"/>
          </reference>
          <reference field="17" count="1" selected="0">
            <x v="2"/>
          </reference>
        </references>
      </pivotArea>
    </format>
    <format dxfId="418">
      <pivotArea dataOnly="0" labelOnly="1" fieldPosition="0">
        <references count="5">
          <reference field="0" count="1" selected="0">
            <x v="13"/>
          </reference>
          <reference field="9" count="1" selected="0">
            <x v="3"/>
          </reference>
          <reference field="10" count="1" selected="0">
            <x v="45"/>
          </reference>
          <reference field="14" count="1">
            <x v="32"/>
          </reference>
          <reference field="17" count="1" selected="0">
            <x v="2"/>
          </reference>
        </references>
      </pivotArea>
    </format>
    <format dxfId="419">
      <pivotArea dataOnly="0" labelOnly="1" fieldPosition="0">
        <references count="5">
          <reference field="0" count="1" selected="0">
            <x v="2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20">
      <pivotArea dataOnly="0" labelOnly="1" fieldPosition="0">
        <references count="5">
          <reference field="0" count="1" selected="0">
            <x v="8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1">
      <pivotArea dataOnly="0" labelOnly="1" fieldPosition="0">
        <references count="5">
          <reference field="0" count="1" selected="0">
            <x v="19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2">
      <pivotArea dataOnly="0" labelOnly="1" fieldPosition="0">
        <references count="5">
          <reference field="0" count="1" selected="0">
            <x v="21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3">
      <pivotArea dataOnly="0" labelOnly="1" fieldPosition="0">
        <references count="5">
          <reference field="0" count="1" selected="0">
            <x v="23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4">
      <pivotArea dataOnly="0" labelOnly="1" fieldPosition="0">
        <references count="5">
          <reference field="0" count="1" selected="0">
            <x v="2"/>
          </reference>
          <reference field="9" count="1" selected="0">
            <x v="4"/>
          </reference>
          <reference field="10" count="1" selected="0">
            <x v="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5">
      <pivotArea dataOnly="0" labelOnly="1" fieldPosition="0">
        <references count="5">
          <reference field="0" count="1" selected="0">
            <x v="5"/>
          </reference>
          <reference field="9" count="1" selected="0">
            <x v="4"/>
          </reference>
          <reference field="10" count="1" selected="0">
            <x v="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6">
      <pivotArea dataOnly="0" labelOnly="1" fieldPosition="0">
        <references count="5">
          <reference field="0" count="1" selected="0">
            <x v="8"/>
          </reference>
          <reference field="9" count="1" selected="0">
            <x v="4"/>
          </reference>
          <reference field="10" count="1" selected="0">
            <x v="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7">
      <pivotArea dataOnly="0" labelOnly="1" fieldPosition="0">
        <references count="5">
          <reference field="0" count="1" selected="0">
            <x v="2"/>
          </reference>
          <reference field="9" count="1" selected="0">
            <x v="4"/>
          </reference>
          <reference field="10" count="1" selected="0">
            <x v="1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8">
      <pivotArea dataOnly="0" labelOnly="1" fieldPosition="0">
        <references count="5">
          <reference field="0" count="1" selected="0">
            <x v="8"/>
          </reference>
          <reference field="9" count="1" selected="0">
            <x v="4"/>
          </reference>
          <reference field="10" count="1" selected="0">
            <x v="1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29">
      <pivotArea dataOnly="0" labelOnly="1" fieldPosition="0">
        <references count="5">
          <reference field="0" count="1" selected="0">
            <x v="34"/>
          </reference>
          <reference field="9" count="1" selected="0">
            <x v="4"/>
          </reference>
          <reference field="10" count="1" selected="0">
            <x v="1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430">
      <pivotArea dataOnly="0" labelOnly="1" fieldPosition="0">
        <references count="5">
          <reference field="0" count="1" selected="0">
            <x v="2"/>
          </reference>
          <reference field="9" count="1" selected="0">
            <x v="4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1">
      <pivotArea dataOnly="0" labelOnly="1" fieldPosition="0">
        <references count="5">
          <reference field="0" count="1" selected="0">
            <x v="22"/>
          </reference>
          <reference field="9" count="1" selected="0">
            <x v="4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2">
      <pivotArea dataOnly="0" labelOnly="1" fieldPosition="0">
        <references count="5">
          <reference field="0" count="1" selected="0">
            <x v="39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3">
      <pivotArea dataOnly="0" labelOnly="1" fieldPosition="0">
        <references count="5">
          <reference field="0" count="1" selected="0">
            <x v="48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4">
      <pivotArea dataOnly="0" labelOnly="1" fieldPosition="0">
        <references count="5">
          <reference field="0" count="1" selected="0">
            <x v="53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5">
      <pivotArea dataOnly="0" labelOnly="1" fieldPosition="0">
        <references count="5">
          <reference field="0" count="1" selected="0">
            <x v="39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6">
      <pivotArea dataOnly="0" labelOnly="1" fieldPosition="0">
        <references count="5">
          <reference field="0" count="1" selected="0">
            <x v="51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7">
      <pivotArea dataOnly="0" labelOnly="1" fieldPosition="0">
        <references count="5">
          <reference field="0" count="1" selected="0">
            <x v="54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8">
      <pivotArea dataOnly="0" labelOnly="1" fieldPosition="0">
        <references count="5">
          <reference field="0" count="1" selected="0">
            <x v="49"/>
          </reference>
          <reference field="9" count="1" selected="0">
            <x v="4"/>
          </reference>
          <reference field="10" count="1" selected="0">
            <x v="20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39">
      <pivotArea dataOnly="0" labelOnly="1" fieldPosition="0">
        <references count="5">
          <reference field="0" count="1" selected="0">
            <x v="38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40">
      <pivotArea dataOnly="0" labelOnly="1" fieldPosition="0">
        <references count="5">
          <reference field="0" count="1" selected="0">
            <x v="39"/>
          </reference>
          <reference field="9" count="1" selected="0">
            <x v="4"/>
          </reference>
          <reference field="10" count="1" selected="0">
            <x v="42"/>
          </reference>
          <reference field="14" count="1">
            <x v="0"/>
          </reference>
          <reference field="17" count="1" selected="0">
            <x v="1"/>
          </reference>
        </references>
      </pivotArea>
    </format>
    <format dxfId="441">
      <pivotArea dataOnly="0" labelOnly="1" fieldPosition="0">
        <references count="5">
          <reference field="0" count="1" selected="0">
            <x v="3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2">
      <pivotArea dataOnly="0" labelOnly="1" fieldPosition="0">
        <references count="5">
          <reference field="0" count="1" selected="0">
            <x v="4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3">
      <pivotArea dataOnly="0" labelOnly="1" fieldPosition="0">
        <references count="5">
          <reference field="0" count="1" selected="0">
            <x v="10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4">
      <pivotArea dataOnly="0" labelOnly="1" fieldPosition="0">
        <references count="5">
          <reference field="0" count="1" selected="0">
            <x v="13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5">
      <pivotArea dataOnly="0" labelOnly="1" fieldPosition="0">
        <references count="5">
          <reference field="0" count="1" selected="0">
            <x v="15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6">
      <pivotArea dataOnly="0" labelOnly="1" fieldPosition="0">
        <references count="5">
          <reference field="0" count="1" selected="0">
            <x v="17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7">
      <pivotArea dataOnly="0" labelOnly="1" fieldPosition="0">
        <references count="5">
          <reference field="0" count="1" selected="0">
            <x v="18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8">
      <pivotArea dataOnly="0" labelOnly="1" fieldPosition="0">
        <references count="5">
          <reference field="0" count="1" selected="0">
            <x v="25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49">
      <pivotArea dataOnly="0" labelOnly="1" fieldPosition="0">
        <references count="5">
          <reference field="0" count="1" selected="0">
            <x v="29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0">
      <pivotArea dataOnly="0" labelOnly="1" fieldPosition="0">
        <references count="5">
          <reference field="0" count="1" selected="0">
            <x v="35"/>
          </reference>
          <reference field="9" count="1" selected="0">
            <x v="4"/>
          </reference>
          <reference field="10" count="1" selected="0">
            <x v="2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1">
      <pivotArea dataOnly="0" labelOnly="1" fieldPosition="0">
        <references count="5">
          <reference field="0" count="1" selected="0">
            <x v="3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2">
      <pivotArea dataOnly="0" labelOnly="1" fieldPosition="0">
        <references count="5">
          <reference field="0" count="1" selected="0">
            <x v="4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3">
      <pivotArea dataOnly="0" labelOnly="1" fieldPosition="0">
        <references count="5">
          <reference field="0" count="1" selected="0">
            <x v="17"/>
          </reference>
          <reference field="9" count="1" selected="0">
            <x v="4"/>
          </reference>
          <reference field="10" count="1" selected="0">
            <x v="5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4">
      <pivotArea dataOnly="0" labelOnly="1" fieldPosition="0">
        <references count="5">
          <reference field="0" count="1" selected="0">
            <x v="12"/>
          </reference>
          <reference field="9" count="1" selected="0">
            <x v="4"/>
          </reference>
          <reference field="10" count="1" selected="0">
            <x v="6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455">
      <pivotArea dataOnly="0" labelOnly="1" fieldPosition="0">
        <references count="5">
          <reference field="0" count="1" selected="0">
            <x v="13"/>
          </reference>
          <reference field="9" count="1" selected="0">
            <x v="4"/>
          </reference>
          <reference field="10" count="1" selected="0">
            <x v="6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456">
      <pivotArea dataOnly="0" labelOnly="1" fieldPosition="0">
        <references count="5">
          <reference field="0" count="1" selected="0">
            <x v="12"/>
          </reference>
          <reference field="9" count="1" selected="0">
            <x v="4"/>
          </reference>
          <reference field="10" count="1" selected="0">
            <x v="8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457">
      <pivotArea dataOnly="0" labelOnly="1" fieldPosition="0">
        <references count="5">
          <reference field="0" count="1" selected="0">
            <x v="3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8">
      <pivotArea dataOnly="0" labelOnly="1" fieldPosition="0">
        <references count="5">
          <reference field="0" count="1" selected="0">
            <x v="4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59">
      <pivotArea dataOnly="0" labelOnly="1" fieldPosition="0">
        <references count="5">
          <reference field="0" count="1" selected="0">
            <x v="12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0">
      <pivotArea dataOnly="0" labelOnly="1" fieldPosition="0">
        <references count="5">
          <reference field="0" count="1" selected="0">
            <x v="13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1">
      <pivotArea dataOnly="0" labelOnly="1" fieldPosition="0">
        <references count="5">
          <reference field="0" count="1" selected="0">
            <x v="17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2">
      <pivotArea dataOnly="0" labelOnly="1" fieldPosition="0">
        <references count="5">
          <reference field="0" count="1" selected="0">
            <x v="18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3">
      <pivotArea dataOnly="0" labelOnly="1" fieldPosition="0">
        <references count="5">
          <reference field="0" count="1" selected="0">
            <x v="29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4">
      <pivotArea dataOnly="0" labelOnly="1" fieldPosition="0">
        <references count="5">
          <reference field="0" count="1" selected="0">
            <x v="35"/>
          </reference>
          <reference field="9" count="1" selected="0">
            <x v="4"/>
          </reference>
          <reference field="10" count="1" selected="0">
            <x v="3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65">
      <pivotArea dataOnly="0" labelOnly="1" fieldPosition="0">
        <references count="5">
          <reference field="0" count="1" selected="0">
            <x v="8"/>
          </reference>
          <reference field="9" count="1" selected="0">
            <x v="5"/>
          </reference>
          <reference field="10" count="1" selected="0">
            <x v="3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66">
      <pivotArea dataOnly="0" labelOnly="1" fieldPosition="0">
        <references count="5">
          <reference field="0" count="1" selected="0">
            <x v="34"/>
          </reference>
          <reference field="9" count="1" selected="0">
            <x v="5"/>
          </reference>
          <reference field="10" count="1" selected="0">
            <x v="3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67">
      <pivotArea dataOnly="0" labelOnly="1" fieldPosition="0">
        <references count="5">
          <reference field="0" count="1" selected="0">
            <x v="49"/>
          </reference>
          <reference field="9" count="1" selected="0">
            <x v="5"/>
          </reference>
          <reference field="10" count="1" selected="0">
            <x v="31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468">
      <pivotArea dataOnly="0" labelOnly="1" fieldPosition="0">
        <references count="5">
          <reference field="0" count="1" selected="0">
            <x v="13"/>
          </reference>
          <reference field="9" count="1" selected="0">
            <x v="5"/>
          </reference>
          <reference field="10" count="1" selected="0">
            <x v="31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469">
      <pivotArea dataOnly="0" labelOnly="1" fieldPosition="0">
        <references count="5">
          <reference field="0" count="1" selected="0">
            <x v="37"/>
          </reference>
          <reference field="9" count="1" selected="0">
            <x v="6"/>
          </reference>
          <reference field="10" count="1" selected="0">
            <x v="4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470">
      <pivotArea dataOnly="0" labelOnly="1" fieldPosition="0">
        <references count="5">
          <reference field="0" count="1" selected="0">
            <x v="45"/>
          </reference>
          <reference field="9" count="1" selected="0">
            <x v="6"/>
          </reference>
          <reference field="10" count="1" selected="0">
            <x v="4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471">
      <pivotArea dataOnly="0" labelOnly="1" fieldPosition="0">
        <references count="5">
          <reference field="0" count="1" selected="0">
            <x v="20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2">
      <pivotArea dataOnly="0" labelOnly="1" fieldPosition="0">
        <references count="5">
          <reference field="0" count="1" selected="0">
            <x v="23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3">
      <pivotArea dataOnly="0" labelOnly="1" fieldPosition="0">
        <references count="5">
          <reference field="0" count="1" selected="0">
            <x v="34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4">
      <pivotArea dataOnly="0" labelOnly="1" fieldPosition="0">
        <references count="5">
          <reference field="0" count="1" selected="0">
            <x v="19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5">
      <pivotArea dataOnly="0" labelOnly="1" fieldPosition="0">
        <references count="5">
          <reference field="0" count="1" selected="0">
            <x v="23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6">
      <pivotArea dataOnly="0" labelOnly="1" fieldPosition="0">
        <references count="5">
          <reference field="0" count="1" selected="0">
            <x v="34"/>
          </reference>
          <reference field="9" count="1" selected="0">
            <x v="7"/>
          </reference>
          <reference field="10" count="1" selected="0">
            <x v="44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77">
      <pivotArea dataOnly="0" labelOnly="1" fieldPosition="0">
        <references count="5">
          <reference field="0" count="1" selected="0">
            <x v="1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78">
      <pivotArea dataOnly="0" labelOnly="1" fieldPosition="0">
        <references count="5">
          <reference field="0" count="1" selected="0">
            <x v="3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79">
      <pivotArea dataOnly="0" labelOnly="1" fieldPosition="0">
        <references count="5">
          <reference field="0" count="1" selected="0">
            <x v="12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0">
      <pivotArea dataOnly="0" labelOnly="1" fieldPosition="0">
        <references count="5">
          <reference field="0" count="1" selected="0">
            <x v="13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1">
      <pivotArea dataOnly="0" labelOnly="1" fieldPosition="0">
        <references count="5">
          <reference field="0" count="1" selected="0">
            <x v="15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2">
      <pivotArea dataOnly="0" labelOnly="1" fieldPosition="0">
        <references count="5">
          <reference field="0" count="1" selected="0">
            <x v="17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3">
      <pivotArea dataOnly="0" labelOnly="1" fieldPosition="0">
        <references count="5">
          <reference field="0" count="1" selected="0">
            <x v="18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4">
      <pivotArea dataOnly="0" labelOnly="1" fieldPosition="0">
        <references count="5">
          <reference field="0" count="1" selected="0">
            <x v="24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5">
      <pivotArea dataOnly="0" labelOnly="1" fieldPosition="0">
        <references count="5">
          <reference field="0" count="1" selected="0">
            <x v="30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6">
      <pivotArea dataOnly="0" labelOnly="1" fieldPosition="0">
        <references count="5">
          <reference field="0" count="1" selected="0">
            <x v="3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7">
      <pivotArea dataOnly="0" labelOnly="1" fieldPosition="0">
        <references count="5">
          <reference field="0" count="1" selected="0">
            <x v="12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8">
      <pivotArea dataOnly="0" labelOnly="1" fieldPosition="0">
        <references count="5">
          <reference field="0" count="1" selected="0">
            <x v="13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89">
      <pivotArea dataOnly="0" labelOnly="1" fieldPosition="0">
        <references count="5">
          <reference field="0" count="1" selected="0">
            <x v="17"/>
          </reference>
          <reference field="9" count="1" selected="0">
            <x v="7"/>
          </reference>
          <reference field="10" count="1" selected="0">
            <x v="28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490">
      <pivotArea dataOnly="0" labelOnly="1" fieldPosition="0">
        <references count="5">
          <reference field="0" count="1" selected="0">
            <x v="4"/>
          </reference>
          <reference field="9" count="1" selected="0">
            <x v="7"/>
          </reference>
          <reference field="10" count="1" selected="0">
            <x v="44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91">
      <pivotArea dataOnly="0" labelOnly="1" fieldPosition="0">
        <references count="5">
          <reference field="0" count="1" selected="0">
            <x v="5"/>
          </reference>
          <reference field="9" count="1" selected="0">
            <x v="8"/>
          </reference>
          <reference field="10" count="1" selected="0">
            <x v="11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492">
      <pivotArea dataOnly="0" labelOnly="1" fieldPosition="0">
        <references count="5">
          <reference field="0" count="1" selected="0">
            <x v="11"/>
          </reference>
          <reference field="9" count="1" selected="0">
            <x v="8"/>
          </reference>
          <reference field="10" count="1" selected="0">
            <x v="11"/>
          </reference>
          <reference field="14" count="1">
            <x v="29"/>
          </reference>
          <reference field="17" count="1" selected="0">
            <x v="0"/>
          </reference>
        </references>
      </pivotArea>
    </format>
    <format dxfId="493">
      <pivotArea dataOnly="0" labelOnly="1" fieldPosition="0">
        <references count="5">
          <reference field="0" count="1" selected="0">
            <x v="48"/>
          </reference>
          <reference field="9" count="1" selected="0">
            <x v="8"/>
          </reference>
          <reference field="10" count="1" selected="0">
            <x v="11"/>
          </reference>
          <reference field="14" count="1">
            <x v="8"/>
          </reference>
          <reference field="17" count="1" selected="0">
            <x v="1"/>
          </reference>
        </references>
      </pivotArea>
    </format>
    <format dxfId="494">
      <pivotArea dataOnly="0" labelOnly="1" fieldPosition="0">
        <references count="5">
          <reference field="0" count="1" selected="0">
            <x v="12"/>
          </reference>
          <reference field="9" count="1" selected="0">
            <x v="8"/>
          </reference>
          <reference field="10" count="1" selected="0">
            <x v="11"/>
          </reference>
          <reference field="14" count="1">
            <x v="30"/>
          </reference>
          <reference field="17" count="1" selected="0">
            <x v="2"/>
          </reference>
        </references>
      </pivotArea>
    </format>
    <format dxfId="495">
      <pivotArea dataOnly="0" labelOnly="1" fieldPosition="0">
        <references count="5">
          <reference field="0" count="1" selected="0">
            <x v="17"/>
          </reference>
          <reference field="9" count="1" selected="0">
            <x v="8"/>
          </reference>
          <reference field="10" count="1" selected="0">
            <x v="11"/>
          </reference>
          <reference field="14" count="1">
            <x v="30"/>
          </reference>
          <reference field="17" count="1" selected="0">
            <x v="2"/>
          </reference>
        </references>
      </pivotArea>
    </format>
    <format dxfId="496">
      <pivotArea dataOnly="0" labelOnly="1" fieldPosition="0">
        <references count="5">
          <reference field="0" count="1" selected="0">
            <x v="34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0"/>
          </reference>
        </references>
      </pivotArea>
    </format>
    <format dxfId="497">
      <pivotArea dataOnly="0" labelOnly="1" fieldPosition="0">
        <references count="5">
          <reference field="0" count="1" selected="0">
            <x v="50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1"/>
          </reference>
        </references>
      </pivotArea>
    </format>
    <format dxfId="498">
      <pivotArea dataOnly="0" labelOnly="1" fieldPosition="0">
        <references count="5">
          <reference field="0" count="1" selected="0">
            <x v="12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2"/>
          </reference>
        </references>
      </pivotArea>
    </format>
    <format dxfId="499">
      <pivotArea dataOnly="0" labelOnly="1" fieldPosition="0">
        <references count="5">
          <reference field="0" count="1" selected="0">
            <x v="13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2"/>
          </reference>
        </references>
      </pivotArea>
    </format>
    <format dxfId="500">
      <pivotArea dataOnly="0" labelOnly="1" fieldPosition="0">
        <references count="5">
          <reference field="0" count="1" selected="0">
            <x v="18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2"/>
          </reference>
        </references>
      </pivotArea>
    </format>
    <format dxfId="501">
      <pivotArea dataOnly="0" labelOnly="1" fieldPosition="0">
        <references count="5">
          <reference field="0" count="1" selected="0">
            <x v="27"/>
          </reference>
          <reference field="9" count="1" selected="0">
            <x v="9"/>
          </reference>
          <reference field="10" count="1" selected="0">
            <x v="12"/>
          </reference>
          <reference field="14" count="1">
            <x v="21"/>
          </reference>
          <reference field="17" count="1" selected="0">
            <x v="2"/>
          </reference>
        </references>
      </pivotArea>
    </format>
    <format dxfId="502">
      <pivotArea dataOnly="0" labelOnly="1" fieldPosition="0">
        <references count="5">
          <reference field="0" count="1" selected="0">
            <x v="9"/>
          </reference>
          <reference field="9" count="1" selected="0">
            <x v="10"/>
          </reference>
          <reference field="10" count="1" selected="0">
            <x v="3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03">
      <pivotArea dataOnly="0" labelOnly="1" fieldPosition="0">
        <references count="5">
          <reference field="0" count="1" selected="0">
            <x v="19"/>
          </reference>
          <reference field="9" count="1" selected="0">
            <x v="10"/>
          </reference>
          <reference field="10" count="1" selected="0">
            <x v="3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04">
      <pivotArea dataOnly="0" labelOnly="1" fieldPosition="0">
        <references count="5">
          <reference field="0" count="1" selected="0">
            <x v="34"/>
          </reference>
          <reference field="9" count="1" selected="0">
            <x v="10"/>
          </reference>
          <reference field="10" count="1" selected="0">
            <x v="32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05">
      <pivotArea dataOnly="0" labelOnly="1" fieldPosition="0">
        <references count="5">
          <reference field="0" count="1" selected="0">
            <x v="19"/>
          </reference>
          <reference field="9" count="1" selected="0">
            <x v="10"/>
          </reference>
          <reference field="10" count="1" selected="0">
            <x v="46"/>
          </reference>
          <reference field="14" count="1">
            <x v="35"/>
          </reference>
          <reference field="17" count="1" selected="0">
            <x v="0"/>
          </reference>
        </references>
      </pivotArea>
    </format>
    <format dxfId="506">
      <pivotArea dataOnly="0" labelOnly="1" fieldPosition="0">
        <references count="5">
          <reference field="0" count="1" selected="0">
            <x v="49"/>
          </reference>
          <reference field="9" count="1" selected="0">
            <x v="10"/>
          </reference>
          <reference field="10" count="1" selected="0">
            <x v="32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507">
      <pivotArea dataOnly="0" labelOnly="1" fieldPosition="0">
        <references count="5">
          <reference field="0" count="1" selected="0">
            <x v="52"/>
          </reference>
          <reference field="9" count="1" selected="0">
            <x v="10"/>
          </reference>
          <reference field="10" count="1" selected="0">
            <x v="35"/>
          </reference>
          <reference field="14" count="1">
            <x v="16"/>
          </reference>
          <reference field="17" count="1" selected="0">
            <x v="1"/>
          </reference>
        </references>
      </pivotArea>
    </format>
    <format dxfId="508">
      <pivotArea dataOnly="0" labelOnly="1" fieldPosition="0">
        <references count="5">
          <reference field="0" count="1" selected="0">
            <x v="13"/>
          </reference>
          <reference field="9" count="1" selected="0">
            <x v="10"/>
          </reference>
          <reference field="10" count="1" selected="0">
            <x v="32"/>
          </reference>
          <reference field="14" count="1">
            <x v="28"/>
          </reference>
          <reference field="17" count="1" selected="0">
            <x v="2"/>
          </reference>
        </references>
      </pivotArea>
    </format>
    <format dxfId="509">
      <pivotArea dataOnly="0" labelOnly="1" fieldPosition="0">
        <references count="5">
          <reference field="0" count="1" selected="0">
            <x v="34"/>
          </reference>
          <reference field="9" count="1" selected="0">
            <x v="11"/>
          </reference>
          <reference field="10" count="1" selected="0">
            <x v="17"/>
          </reference>
          <reference field="14" count="1">
            <x v="5"/>
          </reference>
          <reference field="17" count="1" selected="0">
            <x v="0"/>
          </reference>
        </references>
      </pivotArea>
    </format>
    <format dxfId="510">
      <pivotArea dataOnly="0" labelOnly="1" fieldPosition="0">
        <references count="5">
          <reference field="0" count="1" selected="0">
            <x v="10"/>
          </reference>
          <reference field="9" count="1" selected="0">
            <x v="11"/>
          </reference>
          <reference field="10" count="1" selected="0">
            <x v="17"/>
          </reference>
          <reference field="14" count="1">
            <x v="5"/>
          </reference>
          <reference field="17" count="1" selected="0">
            <x v="2"/>
          </reference>
        </references>
      </pivotArea>
    </format>
    <format dxfId="511">
      <pivotArea dataOnly="0" labelOnly="1" fieldPosition="0">
        <references count="5">
          <reference field="0" count="1" selected="0">
            <x v="0"/>
          </reference>
          <reference field="9" count="1" selected="0">
            <x v="12"/>
          </reference>
          <reference field="10" count="1" selected="0">
            <x v="18"/>
          </reference>
          <reference field="14" count="2">
            <x v="10"/>
            <x v="25"/>
          </reference>
          <reference field="17" count="1" selected="0">
            <x v="2"/>
          </reference>
        </references>
      </pivotArea>
    </format>
    <format dxfId="512">
      <pivotArea dataOnly="0" labelOnly="1" fieldPosition="0">
        <references count="5">
          <reference field="0" count="1" selected="0">
            <x v="6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19"/>
          </reference>
          <reference field="17" count="1" selected="0">
            <x v="0"/>
          </reference>
        </references>
      </pivotArea>
    </format>
    <format dxfId="513">
      <pivotArea dataOnly="0" labelOnly="1" fieldPosition="0">
        <references count="5">
          <reference field="0" count="1" selected="0">
            <x v="19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19"/>
          </reference>
          <reference field="17" count="1" selected="0">
            <x v="0"/>
          </reference>
        </references>
      </pivotArea>
    </format>
    <format dxfId="514">
      <pivotArea dataOnly="0" labelOnly="1" fieldPosition="0">
        <references count="5">
          <reference field="0" count="1" selected="0">
            <x v="34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19"/>
          </reference>
          <reference field="17" count="1" selected="0">
            <x v="0"/>
          </reference>
        </references>
      </pivotArea>
    </format>
    <format dxfId="515">
      <pivotArea dataOnly="0" labelOnly="1" fieldPosition="0">
        <references count="5">
          <reference field="0" count="1" selected="0">
            <x v="48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6"/>
          </reference>
          <reference field="17" count="1" selected="0">
            <x v="1"/>
          </reference>
        </references>
      </pivotArea>
    </format>
    <format dxfId="516">
      <pivotArea dataOnly="0" labelOnly="1" fieldPosition="0">
        <references count="5">
          <reference field="0" count="1" selected="0">
            <x v="51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6"/>
          </reference>
          <reference field="17" count="1" selected="0">
            <x v="1"/>
          </reference>
        </references>
      </pivotArea>
    </format>
    <format dxfId="517">
      <pivotArea dataOnly="0" labelOnly="1" fieldPosition="0">
        <references count="5">
          <reference field="0" count="1" selected="0">
            <x v="55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6"/>
          </reference>
          <reference field="17" count="1" selected="0">
            <x v="1"/>
          </reference>
        </references>
      </pivotArea>
    </format>
    <format dxfId="518">
      <pivotArea dataOnly="0" labelOnly="1" fieldPosition="0">
        <references count="5">
          <reference field="0" count="1" selected="0">
            <x v="56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6"/>
          </reference>
          <reference field="17" count="1" selected="0">
            <x v="1"/>
          </reference>
        </references>
      </pivotArea>
    </format>
    <format dxfId="519">
      <pivotArea dataOnly="0" labelOnly="1" fieldPosition="0">
        <references count="5">
          <reference field="0" count="1" selected="0">
            <x v="13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520">
      <pivotArea dataOnly="0" labelOnly="1" fieldPosition="0">
        <references count="5">
          <reference field="0" count="1" selected="0">
            <x v="17"/>
          </reference>
          <reference field="9" count="1" selected="0">
            <x v="13"/>
          </reference>
          <reference field="10" count="1" selected="0">
            <x v="27"/>
          </reference>
          <reference field="14" count="1">
            <x v="23"/>
          </reference>
          <reference field="17" count="1" selected="0">
            <x v="2"/>
          </reference>
        </references>
      </pivotArea>
    </format>
    <format dxfId="521">
      <pivotArea dataOnly="0" labelOnly="1" fieldPosition="0">
        <references count="5">
          <reference field="0" count="1" selected="0">
            <x v="48"/>
          </reference>
          <reference field="9" count="1" selected="0">
            <x v="14"/>
          </reference>
          <reference field="10" count="1" selected="0">
            <x v="23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522">
      <pivotArea dataOnly="0" labelOnly="1" fieldPosition="0">
        <references count="5">
          <reference field="0" count="1" selected="0">
            <x v="51"/>
          </reference>
          <reference field="9" count="1" selected="0">
            <x v="14"/>
          </reference>
          <reference field="10" count="1" selected="0">
            <x v="23"/>
          </reference>
          <reference field="14" count="1">
            <x v="19"/>
          </reference>
          <reference field="17" count="1" selected="0">
            <x v="1"/>
          </reference>
        </references>
      </pivotArea>
    </format>
    <format dxfId="523">
      <pivotArea dataOnly="0" labelOnly="1" fieldPosition="0">
        <references count="5">
          <reference field="0" count="1" selected="0">
            <x v="13"/>
          </reference>
          <reference field="9" count="1" selected="0">
            <x v="14"/>
          </reference>
          <reference field="10" count="1" selected="0">
            <x v="23"/>
          </reference>
          <reference field="14" count="1">
            <x v="25"/>
          </reference>
          <reference field="17" count="1" selected="0">
            <x v="2"/>
          </reference>
        </references>
      </pivotArea>
    </format>
    <format dxfId="524">
      <pivotArea dataOnly="0" labelOnly="1" fieldPosition="0">
        <references count="5">
          <reference field="0" count="1" selected="0">
            <x v="17"/>
          </reference>
          <reference field="9" count="1" selected="0">
            <x v="14"/>
          </reference>
          <reference field="10" count="1" selected="0">
            <x v="23"/>
          </reference>
          <reference field="14" count="1">
            <x v="25"/>
          </reference>
          <reference field="17" count="1" selected="0">
            <x v="2"/>
          </reference>
        </references>
      </pivotArea>
    </format>
    <format dxfId="525">
      <pivotArea dataOnly="0" labelOnly="1" fieldPosition="0">
        <references count="5">
          <reference field="0" count="1" selected="0">
            <x v="41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4"/>
          </reference>
          <reference field="17" count="1" selected="0">
            <x v="1"/>
          </reference>
        </references>
      </pivotArea>
    </format>
    <format dxfId="526">
      <pivotArea dataOnly="0" labelOnly="1" fieldPosition="0">
        <references count="5">
          <reference field="0" count="1" selected="0">
            <x v="46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4"/>
          </reference>
          <reference field="17" count="1" selected="0">
            <x v="1"/>
          </reference>
        </references>
      </pivotArea>
    </format>
    <format dxfId="527">
      <pivotArea dataOnly="0" labelOnly="1" fieldPosition="0">
        <references count="5">
          <reference field="0" count="1" selected="0">
            <x v="53"/>
          </reference>
          <reference field="9" count="1" selected="0">
            <x v="15"/>
          </reference>
          <reference field="10" count="1" selected="0">
            <x v="26"/>
          </reference>
          <reference field="14" count="1">
            <x v="24"/>
          </reference>
          <reference field="17" count="1" selected="0">
            <x v="1"/>
          </reference>
        </references>
      </pivotArea>
    </format>
    <format dxfId="528">
      <pivotArea dataOnly="0" labelOnly="1" fieldPosition="0">
        <references count="5">
          <reference field="0" count="1" selected="0">
            <x v="42"/>
          </reference>
          <reference field="9" count="1" selected="0">
            <x v="16"/>
          </reference>
          <reference field="10" count="1" selected="0">
            <x v="15"/>
          </reference>
          <reference field="14" count="1">
            <x v="4"/>
          </reference>
          <reference field="17" count="1" selected="0">
            <x v="1"/>
          </reference>
        </references>
      </pivotArea>
    </format>
    <format dxfId="529">
      <pivotArea dataOnly="0" labelOnly="1" fieldPosition="0">
        <references count="5">
          <reference field="0" count="1" selected="0">
            <x v="26"/>
          </reference>
          <reference field="9" count="1" selected="0">
            <x v="17"/>
          </reference>
          <reference field="10" count="1" selected="0">
            <x v="29"/>
          </reference>
          <reference field="14" count="1">
            <x v="24"/>
          </reference>
          <reference field="17" count="1" selected="0">
            <x v="2"/>
          </reference>
        </references>
      </pivotArea>
    </format>
    <format dxfId="530">
      <pivotArea dataOnly="0" labelOnly="1" fieldPosition="0">
        <references count="5">
          <reference field="0" count="1" selected="0">
            <x v="34"/>
          </reference>
          <reference field="9" count="1" selected="0">
            <x v="18"/>
          </reference>
          <reference field="10" count="1" selected="0">
            <x v="7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31">
      <pivotArea dataOnly="0" labelOnly="1" fieldPosition="0">
        <references count="5">
          <reference field="0" count="1" selected="0">
            <x v="49"/>
          </reference>
          <reference field="9" count="1" selected="0">
            <x v="18"/>
          </reference>
          <reference field="10" count="1" selected="0">
            <x v="0"/>
          </reference>
          <reference field="14" count="1">
            <x v="20"/>
          </reference>
          <reference field="17" count="1" selected="0">
            <x v="1"/>
          </reference>
        </references>
      </pivotArea>
    </format>
    <format dxfId="532">
      <pivotArea dataOnly="0" labelOnly="1" fieldPosition="0">
        <references count="5">
          <reference field="0" count="1" selected="0">
            <x v="46"/>
          </reference>
          <reference field="9" count="1" selected="0">
            <x v="18"/>
          </reference>
          <reference field="10" count="1" selected="0">
            <x v="30"/>
          </reference>
          <reference field="14" count="1">
            <x v="36"/>
          </reference>
          <reference field="17" count="1" selected="0">
            <x v="1"/>
          </reference>
        </references>
      </pivotArea>
    </format>
    <format dxfId="533">
      <pivotArea dataOnly="0" labelOnly="1" fieldPosition="0">
        <references count="5">
          <reference field="0" count="1" selected="0">
            <x v="12"/>
          </reference>
          <reference field="9" count="1" selected="0">
            <x v="18"/>
          </reference>
          <reference field="10" count="1" selected="0">
            <x v="0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534">
      <pivotArea dataOnly="0" labelOnly="1" fieldPosition="0">
        <references count="5">
          <reference field="0" count="1" selected="0">
            <x v="0"/>
          </reference>
          <reference field="9" count="1" selected="0">
            <x v="18"/>
          </reference>
          <reference field="10" count="1" selected="0">
            <x v="18"/>
          </reference>
          <reference field="14" count="2">
            <x v="12"/>
            <x v="37"/>
          </reference>
          <reference field="17" count="1" selected="0">
            <x v="2"/>
          </reference>
        </references>
      </pivotArea>
    </format>
    <format dxfId="535">
      <pivotArea dataOnly="0" labelOnly="1" fieldPosition="0">
        <references count="5">
          <reference field="0" count="1" selected="0">
            <x v="43"/>
          </reference>
          <reference field="9" count="1" selected="0">
            <x v="19"/>
          </reference>
          <reference field="10" count="1" selected="0">
            <x v="33"/>
          </reference>
          <reference field="14" count="1">
            <x v="13"/>
          </reference>
          <reference field="17" count="1" selected="0">
            <x v="1"/>
          </reference>
        </references>
      </pivotArea>
    </format>
    <format dxfId="536">
      <pivotArea dataOnly="0" labelOnly="1" fieldPosition="0">
        <references count="5">
          <reference field="0" count="1" selected="0">
            <x v="16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37">
      <pivotArea dataOnly="0" labelOnly="1" fieldPosition="0">
        <references count="5">
          <reference field="0" count="1" selected="0">
            <x v="19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38">
      <pivotArea dataOnly="0" labelOnly="1" fieldPosition="0">
        <references count="5">
          <reference field="0" count="1" selected="0">
            <x v="20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39">
      <pivotArea dataOnly="0" labelOnly="1" fieldPosition="0">
        <references count="5">
          <reference field="0" count="1" selected="0">
            <x v="34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0">
      <pivotArea dataOnly="0" labelOnly="1" fieldPosition="0">
        <references count="5">
          <reference field="0" count="1" selected="0">
            <x v="2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41">
      <pivotArea dataOnly="0" labelOnly="1" fieldPosition="0">
        <references count="5">
          <reference field="0" count="1" selected="0">
            <x v="8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2">
      <pivotArea dataOnly="0" labelOnly="1" fieldPosition="0">
        <references count="5">
          <reference field="0" count="1" selected="0">
            <x v="16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3">
      <pivotArea dataOnly="0" labelOnly="1" fieldPosition="0">
        <references count="5">
          <reference field="0" count="1" selected="0">
            <x v="19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4">
      <pivotArea dataOnly="0" labelOnly="1" fieldPosition="0">
        <references count="5">
          <reference field="0" count="1" selected="0">
            <x v="20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5">
      <pivotArea dataOnly="0" labelOnly="1" fieldPosition="0">
        <references count="5">
          <reference field="0" count="1" selected="0">
            <x v="21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6">
      <pivotArea dataOnly="0" labelOnly="1" fieldPosition="0">
        <references count="5">
          <reference field="0" count="1" selected="0">
            <x v="32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7">
      <pivotArea dataOnly="0" labelOnly="1" fieldPosition="0">
        <references count="5">
          <reference field="0" count="1" selected="0">
            <x v="34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48">
      <pivotArea dataOnly="0" labelOnly="1" fieldPosition="0">
        <references count="5">
          <reference field="0" count="1" selected="0">
            <x v="2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49">
      <pivotArea dataOnly="0" labelOnly="1" fieldPosition="0">
        <references count="5">
          <reference field="0" count="1" selected="0">
            <x v="6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50">
      <pivotArea dataOnly="0" labelOnly="1" fieldPosition="0">
        <references count="5">
          <reference field="0" count="1" selected="0">
            <x v="8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51">
      <pivotArea dataOnly="0" labelOnly="1" fieldPosition="0">
        <references count="5">
          <reference field="0" count="1" selected="0">
            <x v="9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52">
      <pivotArea dataOnly="0" labelOnly="1" fieldPosition="0">
        <references count="5">
          <reference field="0" count="1" selected="0">
            <x v="19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53">
      <pivotArea dataOnly="0" labelOnly="1" fieldPosition="0">
        <references count="5">
          <reference field="0" count="1" selected="0">
            <x v="33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33"/>
          </reference>
          <reference field="17" count="1" selected="0">
            <x v="0"/>
          </reference>
        </references>
      </pivotArea>
    </format>
    <format dxfId="554">
      <pivotArea dataOnly="0" labelOnly="1" fieldPosition="0">
        <references count="5">
          <reference field="0" count="1" selected="0">
            <x v="34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22"/>
          </reference>
          <reference field="17" count="1" selected="0">
            <x v="0"/>
          </reference>
        </references>
      </pivotArea>
    </format>
    <format dxfId="555">
      <pivotArea dataOnly="0" labelOnly="1" fieldPosition="0">
        <references count="5">
          <reference field="0" count="1" selected="0">
            <x v="10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556">
      <pivotArea dataOnly="0" labelOnly="1" fieldPosition="0">
        <references count="5">
          <reference field="0" count="1" selected="0">
            <x v="12"/>
          </reference>
          <reference field="9" count="1" selected="0">
            <x v="20"/>
          </reference>
          <reference field="10" count="1" selected="0">
            <x v="9"/>
          </reference>
          <reference field="14" count="1">
            <x v="27"/>
          </reference>
          <reference field="17" count="1" selected="0">
            <x v="2"/>
          </reference>
        </references>
      </pivotArea>
    </format>
    <format dxfId="557">
      <pivotArea dataOnly="0" labelOnly="1" fieldPosition="0">
        <references count="5">
          <reference field="0" count="1" selected="0">
            <x v="15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558">
      <pivotArea dataOnly="0" labelOnly="1" fieldPosition="0">
        <references count="5">
          <reference field="0" count="1" selected="0">
            <x v="17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559">
      <pivotArea dataOnly="0" labelOnly="1" fieldPosition="0">
        <references count="5">
          <reference field="0" count="1" selected="0">
            <x v="18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560">
      <pivotArea dataOnly="0" labelOnly="1" fieldPosition="0">
        <references count="5">
          <reference field="0" count="1" selected="0">
            <x v="26"/>
          </reference>
          <reference field="9" count="1" selected="0">
            <x v="20"/>
          </reference>
          <reference field="10" count="1" selected="0">
            <x v="16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561">
      <pivotArea dataOnly="0" labelOnly="1" fieldPosition="0">
        <references count="5">
          <reference field="0" count="1" selected="0">
            <x v="3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562">
      <pivotArea dataOnly="0" labelOnly="1" fieldPosition="0">
        <references count="5">
          <reference field="0" count="1" selected="0">
            <x v="13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563">
      <pivotArea dataOnly="0" labelOnly="1" fieldPosition="0">
        <references count="5">
          <reference field="0" count="1" selected="0">
            <x v="15"/>
          </reference>
          <reference field="9" count="1" selected="0">
            <x v="20"/>
          </reference>
          <reference field="10" count="1" selected="0">
            <x v="24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564">
      <pivotArea dataOnly="0" labelOnly="1" fieldPosition="0">
        <references count="5">
          <reference field="0" count="1" selected="0">
            <x v="33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7"/>
          </reference>
          <reference field="17" count="1" selected="0">
            <x v="0"/>
          </reference>
        </references>
      </pivotArea>
    </format>
    <format dxfId="565">
      <pivotArea dataOnly="0" labelOnly="1" fieldPosition="0">
        <references count="5">
          <reference field="0" count="1" selected="0">
            <x v="7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0"/>
          </reference>
        </references>
      </pivotArea>
    </format>
    <format dxfId="566">
      <pivotArea dataOnly="0" labelOnly="1" fieldPosition="0">
        <references count="5">
          <reference field="0" count="1" selected="0">
            <x v="47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3"/>
          </reference>
          <reference field="17" count="1" selected="0">
            <x v="1"/>
          </reference>
        </references>
      </pivotArea>
    </format>
    <format dxfId="567">
      <pivotArea dataOnly="0" labelOnly="1" fieldPosition="0">
        <references count="5">
          <reference field="0" count="1" selected="0">
            <x v="48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3"/>
          </reference>
          <reference field="17" count="1" selected="0">
            <x v="1"/>
          </reference>
        </references>
      </pivotArea>
    </format>
    <format dxfId="568">
      <pivotArea dataOnly="0" labelOnly="1" fieldPosition="0">
        <references count="5">
          <reference field="0" count="1" selected="0">
            <x v="48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4"/>
          </reference>
          <reference field="17" count="1" selected="0">
            <x v="1"/>
          </reference>
        </references>
      </pivotArea>
    </format>
    <format dxfId="569">
      <pivotArea dataOnly="0" labelOnly="1" fieldPosition="0">
        <references count="5">
          <reference field="0" count="1" selected="0">
            <x v="3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7"/>
          </reference>
          <reference field="17" count="1" selected="0">
            <x v="2"/>
          </reference>
        </references>
      </pivotArea>
    </format>
    <format dxfId="570">
      <pivotArea dataOnly="0" labelOnly="1" fieldPosition="0">
        <references count="5">
          <reference field="0" count="1" selected="0">
            <x v="10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7"/>
          </reference>
          <reference field="17" count="1" selected="0">
            <x v="2"/>
          </reference>
        </references>
      </pivotArea>
    </format>
    <format dxfId="571">
      <pivotArea dataOnly="0" labelOnly="1" fieldPosition="0">
        <references count="5">
          <reference field="0" count="1" selected="0">
            <x v="30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7"/>
          </reference>
          <reference field="17" count="1" selected="0">
            <x v="2"/>
          </reference>
        </references>
      </pivotArea>
    </format>
    <format dxfId="572">
      <pivotArea dataOnly="0" labelOnly="1" fieldPosition="0">
        <references count="5">
          <reference field="0" count="1" selected="0">
            <x v="31"/>
          </reference>
          <reference field="9" count="1" selected="0">
            <x v="21"/>
          </reference>
          <reference field="10" count="1" selected="0">
            <x v="36"/>
          </reference>
          <reference field="14" count="1">
            <x v="7"/>
          </reference>
          <reference field="17" count="1" selected="0">
            <x v="2"/>
          </reference>
        </references>
      </pivotArea>
    </format>
    <format dxfId="573">
      <pivotArea dataOnly="0" labelOnly="1" fieldPosition="0">
        <references count="5">
          <reference field="0" count="1" selected="0">
            <x v="3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4">
      <pivotArea dataOnly="0" labelOnly="1" fieldPosition="0">
        <references count="5">
          <reference field="0" count="1" selected="0">
            <x v="10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5">
      <pivotArea dataOnly="0" labelOnly="1" fieldPosition="0">
        <references count="5">
          <reference field="0" count="1" selected="0">
            <x v="12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6">
      <pivotArea dataOnly="0" labelOnly="1" fieldPosition="0">
        <references count="5">
          <reference field="0" count="1" selected="0">
            <x v="13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7">
      <pivotArea dataOnly="0" labelOnly="1" fieldPosition="0">
        <references count="5">
          <reference field="0" count="1" selected="0">
            <x v="15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8">
      <pivotArea dataOnly="0" labelOnly="1" fieldPosition="0">
        <references count="5">
          <reference field="0" count="1" selected="0">
            <x v="17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79">
      <pivotArea dataOnly="0" labelOnly="1" fieldPosition="0">
        <references count="5">
          <reference field="0" count="1" selected="0">
            <x v="18"/>
          </reference>
          <reference field="9" count="1" selected="0">
            <x v="21"/>
          </reference>
          <reference field="10" count="1" selected="0">
            <x v="41"/>
          </reference>
          <reference field="14" count="1">
            <x v="39"/>
          </reference>
          <reference field="17" count="1" selected="0">
            <x v="2"/>
          </reference>
        </references>
      </pivotArea>
    </format>
    <format dxfId="580">
      <pivotArea dataOnly="0" labelOnly="1" fieldPosition="0">
        <references count="5">
          <reference field="0" count="1" selected="0">
            <x v="2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81">
      <pivotArea dataOnly="0" labelOnly="1" fieldPosition="0">
        <references count="5">
          <reference field="0" count="1" selected="0">
            <x v="19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82">
      <pivotArea dataOnly="0" labelOnly="1" fieldPosition="0">
        <references count="5">
          <reference field="0" count="1" selected="0">
            <x v="20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83">
      <pivotArea dataOnly="0" labelOnly="1" fieldPosition="0">
        <references count="5">
          <reference field="0" count="1" selected="0">
            <x v="34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84">
      <pivotArea dataOnly="0" labelOnly="1" fieldPosition="0">
        <references count="5">
          <reference field="0" count="1" selected="0">
            <x v="39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14"/>
          </reference>
          <reference field="17" count="1" selected="0">
            <x v="1"/>
          </reference>
        </references>
      </pivotArea>
    </format>
    <format dxfId="585">
      <pivotArea dataOnly="0" labelOnly="1" fieldPosition="0">
        <references count="5">
          <reference field="0" count="1" selected="0">
            <x v="42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14"/>
          </reference>
          <reference field="17" count="1" selected="0">
            <x v="1"/>
          </reference>
        </references>
      </pivotArea>
    </format>
    <format dxfId="586">
      <pivotArea dataOnly="0" labelOnly="1" fieldPosition="0">
        <references count="5">
          <reference field="0" count="1" selected="0">
            <x v="43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14"/>
          </reference>
          <reference field="17" count="1" selected="0">
            <x v="1"/>
          </reference>
        </references>
      </pivotArea>
    </format>
    <format dxfId="587">
      <pivotArea dataOnly="0" labelOnly="1" fieldPosition="0">
        <references count="5">
          <reference field="0" count="1" selected="0">
            <x v="44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588">
      <pivotArea dataOnly="0" labelOnly="1" fieldPosition="0">
        <references count="5">
          <reference field="0" count="1" selected="0">
            <x v="49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9"/>
          </reference>
          <reference field="17" count="1" selected="0">
            <x v="1"/>
          </reference>
        </references>
      </pivotArea>
    </format>
    <format dxfId="589">
      <pivotArea dataOnly="0" labelOnly="1" fieldPosition="0">
        <references count="5">
          <reference field="0" count="1" selected="0">
            <x v="28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2"/>
          </reference>
        </references>
      </pivotArea>
    </format>
    <format dxfId="590">
      <pivotArea dataOnly="0" labelOnly="1" fieldPosition="0">
        <references count="5">
          <reference field="0" count="1" selected="0">
            <x v="29"/>
          </reference>
          <reference field="9" count="1" selected="0">
            <x v="22"/>
          </reference>
          <reference field="10" count="1" selected="0">
            <x v="34"/>
          </reference>
          <reference field="14" count="1">
            <x v="30"/>
          </reference>
          <reference field="17" count="1" selected="0">
            <x v="2"/>
          </reference>
        </references>
      </pivotArea>
    </format>
    <format dxfId="591">
      <pivotArea dataOnly="0" labelOnly="1" fieldPosition="0">
        <references count="5">
          <reference field="0" count="1" selected="0">
            <x v="2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2">
      <pivotArea dataOnly="0" labelOnly="1" fieldPosition="0">
        <references count="5">
          <reference field="0" count="1" selected="0">
            <x v="9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3">
      <pivotArea dataOnly="0" labelOnly="1" fieldPosition="0">
        <references count="5">
          <reference field="0" count="1" selected="0">
            <x v="16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4">
      <pivotArea dataOnly="0" labelOnly="1" fieldPosition="0">
        <references count="5">
          <reference field="0" count="1" selected="0">
            <x v="19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5">
      <pivotArea dataOnly="0" labelOnly="1" fieldPosition="0">
        <references count="5">
          <reference field="0" count="1" selected="0">
            <x v="20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6">
      <pivotArea dataOnly="0" labelOnly="1" fieldPosition="0">
        <references count="5">
          <reference field="0" count="1" selected="0">
            <x v="21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7">
      <pivotArea dataOnly="0" labelOnly="1" fieldPosition="0">
        <references count="5">
          <reference field="0" count="1" selected="0">
            <x v="22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8">
      <pivotArea dataOnly="0" labelOnly="1" fieldPosition="0">
        <references count="5">
          <reference field="0" count="1" selected="0">
            <x v="23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599">
      <pivotArea dataOnly="0" labelOnly="1" fieldPosition="0">
        <references count="5">
          <reference field="0" count="1" selected="0">
            <x v="34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0"/>
          </reference>
        </references>
      </pivotArea>
    </format>
    <format dxfId="600">
      <pivotArea dataOnly="0" labelOnly="1" fieldPosition="0">
        <references count="5">
          <reference field="0" count="1" selected="0">
            <x v="37"/>
          </reference>
          <reference field="9" count="1" selected="0">
            <x v="23"/>
          </reference>
          <reference field="10" count="1" selected="0">
            <x v="10"/>
          </reference>
          <reference field="14" count="1">
            <x v="11"/>
          </reference>
          <reference field="17" count="1" selected="0">
            <x v="1"/>
          </reference>
        </references>
      </pivotArea>
    </format>
    <format dxfId="601">
      <pivotArea dataOnly="0" labelOnly="1" fieldPosition="0">
        <references count="5">
          <reference field="0" count="1" selected="0">
            <x v="0"/>
          </reference>
          <reference field="9" count="1" selected="0">
            <x v="24"/>
          </reference>
          <reference field="10" count="1" selected="0">
            <x v="43"/>
          </reference>
          <reference field="14" count="1">
            <x v="2"/>
          </reference>
          <reference field="17" count="1" selected="0">
            <x v="2"/>
          </reference>
        </references>
      </pivotArea>
    </format>
    <format dxfId="602">
      <pivotArea dataOnly="0" labelOnly="1" fieldPosition="0">
        <references count="5">
          <reference field="0" count="1" selected="0">
            <x v="2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603">
      <pivotArea dataOnly="0" labelOnly="1" fieldPosition="0">
        <references count="5">
          <reference field="0" count="1" selected="0">
            <x v="20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6"/>
          </reference>
          <reference field="17" count="1" selected="0">
            <x v="0"/>
          </reference>
        </references>
      </pivotArea>
    </format>
    <format dxfId="604">
      <pivotArea dataOnly="0" labelOnly="1" fieldPosition="0">
        <references count="5">
          <reference field="0" count="1" selected="0">
            <x v="34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6"/>
          </reference>
          <reference field="17" count="1" selected="0">
            <x v="0"/>
          </reference>
        </references>
      </pivotArea>
    </format>
    <format dxfId="605">
      <pivotArea dataOnly="0" labelOnly="1" fieldPosition="0">
        <references count="5">
          <reference field="0" count="1" selected="0">
            <x v="49"/>
          </reference>
          <reference field="9" count="1" selected="0">
            <x v="25"/>
          </reference>
          <reference field="10" count="1" selected="0">
            <x v="14"/>
          </reference>
          <reference field="14" count="1">
            <x v="40"/>
          </reference>
          <reference field="17" count="1" selected="0">
            <x v="1"/>
          </reference>
        </references>
      </pivotArea>
    </format>
    <format dxfId="606">
      <pivotArea dataOnly="0" labelOnly="1" fieldPosition="0">
        <references count="5">
          <reference field="0" count="1" selected="0">
            <x v="49"/>
          </reference>
          <reference field="9" count="1" selected="0">
            <x v="25"/>
          </reference>
          <reference field="10" count="1" selected="0">
            <x v="21"/>
          </reference>
          <reference field="14" count="1">
            <x v="40"/>
          </reference>
          <reference field="17" count="1" selected="0">
            <x v="1"/>
          </reference>
        </references>
      </pivotArea>
    </format>
    <format dxfId="607">
      <pivotArea dataOnly="0" labelOnly="1" fieldPosition="0">
        <references count="5">
          <reference field="0" count="1" selected="0">
            <x v="39"/>
          </reference>
          <reference field="9" count="1" selected="0">
            <x v="25"/>
          </reference>
          <reference field="10" count="1" selected="0">
            <x v="22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608">
      <pivotArea dataOnly="0" labelOnly="1" fieldPosition="0">
        <references count="5">
          <reference field="0" count="1" selected="0">
            <x v="49"/>
          </reference>
          <reference field="9" count="1" selected="0">
            <x v="25"/>
          </reference>
          <reference field="10" count="1" selected="0">
            <x v="22"/>
          </reference>
          <reference field="14" count="1">
            <x v="1"/>
          </reference>
          <reference field="17" count="1" selected="0">
            <x v="1"/>
          </reference>
        </references>
      </pivotArea>
    </format>
    <format dxfId="609">
      <pivotArea dataOnly="0" labelOnly="1" fieldPosition="0">
        <references count="5">
          <reference field="0" count="1" selected="0">
            <x v="39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18"/>
          </reference>
          <reference field="17" count="1" selected="0">
            <x v="1"/>
          </reference>
        </references>
      </pivotArea>
    </format>
    <format dxfId="610">
      <pivotArea dataOnly="0" labelOnly="1" fieldPosition="0">
        <references count="5">
          <reference field="0" count="1" selected="0">
            <x v="40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18"/>
          </reference>
          <reference field="17" count="1" selected="0">
            <x v="1"/>
          </reference>
        </references>
      </pivotArea>
    </format>
    <format dxfId="611">
      <pivotArea dataOnly="0" labelOnly="1" fieldPosition="0">
        <references count="5">
          <reference field="0" count="1" selected="0">
            <x v="49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18"/>
          </reference>
          <reference field="17" count="1" selected="0">
            <x v="1"/>
          </reference>
        </references>
      </pivotArea>
    </format>
    <format dxfId="612">
      <pivotArea dataOnly="0" labelOnly="1" fieldPosition="0">
        <references count="5">
          <reference field="0" count="1" selected="0">
            <x v="3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6"/>
          </reference>
          <reference field="17" count="1" selected="0">
            <x v="2"/>
          </reference>
        </references>
      </pivotArea>
    </format>
    <format dxfId="613">
      <pivotArea dataOnly="0" labelOnly="1" fieldPosition="0">
        <references count="5">
          <reference field="0" count="1" selected="0">
            <x v="12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32"/>
          </reference>
          <reference field="17" count="1" selected="0">
            <x v="2"/>
          </reference>
        </references>
      </pivotArea>
    </format>
    <format dxfId="614">
      <pivotArea dataOnly="0" labelOnly="1" fieldPosition="0">
        <references count="5">
          <reference field="0" count="1" selected="0">
            <x v="18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6"/>
          </reference>
          <reference field="17" count="1" selected="0">
            <x v="2"/>
          </reference>
        </references>
      </pivotArea>
    </format>
    <format dxfId="615">
      <pivotArea dataOnly="0" labelOnly="1" fieldPosition="0">
        <references count="5">
          <reference field="0" count="1" selected="0">
            <x v="36"/>
          </reference>
          <reference field="9" count="1" selected="0">
            <x v="25"/>
          </reference>
          <reference field="10" count="1" selected="0">
            <x v="40"/>
          </reference>
          <reference field="14" count="1">
            <x v="26"/>
          </reference>
          <reference field="17" count="1" selected="0">
            <x v="2"/>
          </reference>
        </references>
      </pivotArea>
    </format>
    <format dxfId="616">
      <pivotArea dataOnly="0" labelOnly="1" fieldPosition="0">
        <references count="5">
          <reference field="0" count="1" selected="0">
            <x v="57"/>
          </reference>
          <reference field="9" count="1" selected="0">
            <x v="26"/>
          </reference>
          <reference field="10" count="1" selected="0">
            <x v="47"/>
          </reference>
          <reference field="14" count="1">
            <x v="42"/>
          </reference>
          <reference field="17" count="1" selected="0">
            <x v="3"/>
          </reference>
        </references>
      </pivotArea>
    </format>
    <format dxfId="617">
      <pivotArea dataOnly="0" outline="0" fieldPosition="0">
        <references count="1">
          <reference field="9" count="0" defaultSubtotal="1"/>
        </references>
      </pivotArea>
    </format>
    <format dxfId="618">
      <pivotArea dataOnly="0" outline="0" fieldPosition="0">
        <references count="1">
          <reference field="17" count="0" defaultSubtotal="1"/>
        </references>
      </pivotArea>
    </format>
    <format dxfId="6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F8AD2DB-D93E-467B-9E4A-147C6AD73E8F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1" dataBound="0" tableColumnId="21"/>
      <queryTableField id="23" dataBound="0" tableColumnId="23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51C53-F52E-4F77-99DB-B909CEF70779}" name="ApprovedTimeReport_002_202465" displayName="ApprovedTimeReport_002_202465" ref="A1:R47" tableType="queryTable" totalsRowShown="0">
  <autoFilter ref="A1:R47" xr:uid="{1F151C53-F52E-4F77-99DB-B909CEF70779}"/>
  <sortState xmlns:xlrd2="http://schemas.microsoft.com/office/spreadsheetml/2017/richdata2" ref="A2:R47">
    <sortCondition ref="Q2:Q47"/>
    <sortCondition ref="A2:A47"/>
  </sortState>
  <tableColumns count="18">
    <tableColumn id="1" xr3:uid="{5F5EB418-C6B2-40A0-BB61-4B2EE51D80A7}" uniqueName="1" name="FunnelID" queryTableFieldId="1" dataDxfId="1250"/>
    <tableColumn id="2" xr3:uid="{49DDCA5C-D464-430C-A5A8-5414BED11C59}" uniqueName="2" name="Work Date" queryTableFieldId="2" dataDxfId="1249"/>
    <tableColumn id="3" xr3:uid="{4CF85ABD-A4A6-4286-97C3-C0C217C4AAEE}" uniqueName="3" name="Date TimeSheet" queryTableFieldId="3" dataDxfId="1248"/>
    <tableColumn id="4" xr3:uid="{05B21CAE-9EBE-4EB3-BFD0-AA6B901FE4C0}" uniqueName="4" name="CCID" queryTableFieldId="4" dataDxfId="1247"/>
    <tableColumn id="5" xr3:uid="{189D3B45-AEAB-4F47-A5C8-70090ED50064}" uniqueName="5" name="Year" queryTableFieldId="5"/>
    <tableColumn id="6" xr3:uid="{9D2EBDFE-5E31-4F83-8FEC-0C10B99F4C06}" uniqueName="6" name="Month" queryTableFieldId="6"/>
    <tableColumn id="7" xr3:uid="{CFF8167F-1BF0-4085-B590-9E6E8457C826}" uniqueName="7" name="Day" queryTableFieldId="7"/>
    <tableColumn id="8" xr3:uid="{3C56A662-5E85-4CD6-A222-39C4D35836D9}" uniqueName="8" name="Week" queryTableFieldId="8"/>
    <tableColumn id="9" xr3:uid="{2BFE5163-276C-40E9-9B89-5B41DF3BB66A}" uniqueName="9" name="Time Actual" queryTableFieldId="9" dataCellStyle="Vírgula"/>
    <tableColumn id="10" xr3:uid="{79AA8014-A0B3-449A-83FB-28E0E7A0A30B}" uniqueName="10" name="Company" queryTableFieldId="10" dataDxfId="1246"/>
    <tableColumn id="11" xr3:uid="{F8F0AA9E-FFA3-4A1D-82CE-A7CBBC3E4BE2}" uniqueName="11" name="Resource Name" queryTableFieldId="11" dataDxfId="1245"/>
    <tableColumn id="12" xr3:uid="{6FD5C93A-CF20-48EE-B452-81A95594FDD4}" uniqueName="12" name="Role" queryTableFieldId="12" dataDxfId="1244"/>
    <tableColumn id="13" xr3:uid="{59405B1E-F440-41F2-8998-CFE61B732625}" uniqueName="13" name="Comments" queryTableFieldId="13" dataDxfId="1243"/>
    <tableColumn id="14" xr3:uid="{89777F31-EC63-4D65-A228-0C15BBDD0F36}" uniqueName="14" name="CostRate" queryTableFieldId="14" dataCellStyle="Vírgula"/>
    <tableColumn id="21" xr3:uid="{0E213A7A-8C01-4751-9901-44FE801B2001}" uniqueName="21" name="CostRate w/ Taxes" queryTableFieldId="21" dataCellStyle="Vírgula">
      <calculatedColumnFormula>ApprovedTimeReport_002_202465[[#This Row],[CostRate]]/0.9075</calculatedColumnFormula>
    </tableColumn>
    <tableColumn id="23" xr3:uid="{DADE67BA-CA70-46B8-8501-20F21A324E5A}" uniqueName="23" name="Total Cost" queryTableFieldId="23" dataDxfId="1242" dataCellStyle="Vírgula">
      <calculatedColumnFormula>ApprovedTimeReport_002_202465[[#This Row],[CostRate w/ Taxes]]*ApprovedTimeReport_002_202465[[#This Row],[Time Actual]]</calculatedColumnFormula>
    </tableColumn>
    <tableColumn id="16" xr3:uid="{B42B6A7B-388A-461D-A6FD-E8FFFD392DFC}" uniqueName="16" name="Customer Name" queryTableFieldId="16" dataDxfId="1241"/>
    <tableColumn id="17" xr3:uid="{A702A7D8-99AE-429F-8886-76AB21CE2CE8}" uniqueName="17" name="Project Type" queryTableFieldId="17" dataDxfId="12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B975-A49D-4C29-9E5E-6BE3BAFDDB88}">
  <dimension ref="A3:H311"/>
  <sheetViews>
    <sheetView tabSelected="1" zoomScale="90" zoomScaleNormal="90" workbookViewId="0">
      <selection activeCell="H18" sqref="H18"/>
    </sheetView>
  </sheetViews>
  <sheetFormatPr defaultRowHeight="15.05" x14ac:dyDescent="0.3"/>
  <cols>
    <col min="1" max="1" width="16.6640625" bestFit="1" customWidth="1"/>
    <col min="2" max="2" width="13.33203125" bestFit="1" customWidth="1"/>
    <col min="3" max="3" width="16.21875" bestFit="1" customWidth="1"/>
    <col min="4" max="4" width="23.5546875" bestFit="1" customWidth="1"/>
    <col min="5" max="5" width="19.5546875" style="3" bestFit="1" customWidth="1"/>
    <col min="6" max="6" width="18.5546875" bestFit="1" customWidth="1"/>
    <col min="7" max="7" width="16.88671875" bestFit="1" customWidth="1"/>
  </cols>
  <sheetData>
    <row r="3" spans="1:8" x14ac:dyDescent="0.3">
      <c r="A3" s="4" t="s">
        <v>163</v>
      </c>
      <c r="B3" s="4" t="s">
        <v>133</v>
      </c>
      <c r="C3" s="4" t="s">
        <v>10</v>
      </c>
      <c r="D3" s="4" t="s">
        <v>0</v>
      </c>
      <c r="E3" s="8" t="s">
        <v>132</v>
      </c>
      <c r="F3" t="s">
        <v>165</v>
      </c>
      <c r="G3" t="s">
        <v>166</v>
      </c>
    </row>
    <row r="4" spans="1:8" x14ac:dyDescent="0.3">
      <c r="A4" t="s">
        <v>54</v>
      </c>
      <c r="B4" t="s">
        <v>139</v>
      </c>
      <c r="C4" t="s">
        <v>55</v>
      </c>
      <c r="D4" t="s">
        <v>59</v>
      </c>
      <c r="E4" s="9">
        <v>173.00275482093664</v>
      </c>
      <c r="F4" s="5">
        <v>2</v>
      </c>
      <c r="G4" s="12">
        <v>346.00550964187329</v>
      </c>
    </row>
    <row r="5" spans="1:8" x14ac:dyDescent="0.3">
      <c r="D5" t="s">
        <v>36</v>
      </c>
      <c r="E5" s="9">
        <v>173.00275482093664</v>
      </c>
      <c r="F5" s="5">
        <v>1</v>
      </c>
      <c r="G5" s="12">
        <v>173.00275482093664</v>
      </c>
    </row>
    <row r="6" spans="1:8" x14ac:dyDescent="0.3">
      <c r="D6" t="s">
        <v>18</v>
      </c>
      <c r="E6" s="9">
        <v>173.00275482093664</v>
      </c>
      <c r="F6" s="5">
        <v>7</v>
      </c>
      <c r="G6" s="12">
        <v>1211.0192837465565</v>
      </c>
    </row>
    <row r="7" spans="1:8" x14ac:dyDescent="0.3">
      <c r="D7" t="s">
        <v>44</v>
      </c>
      <c r="E7" s="9">
        <v>173.00275482093664</v>
      </c>
      <c r="F7" s="5">
        <v>4</v>
      </c>
      <c r="G7" s="12">
        <v>692.01101928374658</v>
      </c>
    </row>
    <row r="8" spans="1:8" x14ac:dyDescent="0.3">
      <c r="B8" s="11" t="s">
        <v>169</v>
      </c>
      <c r="C8" s="11"/>
      <c r="D8" s="11"/>
      <c r="E8" s="11"/>
      <c r="F8" s="7">
        <v>14</v>
      </c>
      <c r="G8" s="13">
        <v>2422.0385674931131</v>
      </c>
      <c r="H8" t="s">
        <v>171</v>
      </c>
    </row>
    <row r="9" spans="1:8" x14ac:dyDescent="0.3">
      <c r="B9" t="s">
        <v>153</v>
      </c>
      <c r="C9" t="s">
        <v>55</v>
      </c>
      <c r="D9" t="s">
        <v>48</v>
      </c>
      <c r="E9" s="9">
        <v>110</v>
      </c>
      <c r="F9" s="5">
        <v>115</v>
      </c>
      <c r="G9" s="12">
        <v>12650</v>
      </c>
    </row>
    <row r="10" spans="1:8" x14ac:dyDescent="0.3">
      <c r="D10" t="s">
        <v>57</v>
      </c>
      <c r="E10" s="9">
        <v>110</v>
      </c>
      <c r="F10" s="5">
        <v>7</v>
      </c>
      <c r="G10" s="12">
        <v>770</v>
      </c>
    </row>
    <row r="11" spans="1:8" x14ac:dyDescent="0.3">
      <c r="D11" t="s">
        <v>42</v>
      </c>
      <c r="E11" s="9">
        <v>110</v>
      </c>
      <c r="F11" s="5">
        <v>7</v>
      </c>
      <c r="G11" s="12">
        <v>770</v>
      </c>
    </row>
    <row r="12" spans="1:8" x14ac:dyDescent="0.3">
      <c r="D12" t="s">
        <v>81</v>
      </c>
      <c r="E12" s="9">
        <v>173.00275482093664</v>
      </c>
      <c r="F12" s="5">
        <v>6</v>
      </c>
      <c r="G12" s="12">
        <v>1038.0165289256199</v>
      </c>
    </row>
    <row r="13" spans="1:8" x14ac:dyDescent="0.3">
      <c r="D13" t="s">
        <v>50</v>
      </c>
      <c r="E13" s="9">
        <v>95.239669421487619</v>
      </c>
      <c r="F13" s="5">
        <v>4</v>
      </c>
      <c r="G13" s="12">
        <v>380.95867768595048</v>
      </c>
    </row>
    <row r="14" spans="1:8" x14ac:dyDescent="0.3">
      <c r="B14" s="11" t="s">
        <v>168</v>
      </c>
      <c r="C14" s="11"/>
      <c r="D14" s="11"/>
      <c r="E14" s="11"/>
      <c r="F14" s="7">
        <v>139</v>
      </c>
      <c r="G14" s="13">
        <v>15608.975206611571</v>
      </c>
      <c r="H14" t="s">
        <v>172</v>
      </c>
    </row>
    <row r="15" spans="1:8" x14ac:dyDescent="0.3">
      <c r="B15" t="s">
        <v>142</v>
      </c>
      <c r="C15" t="s">
        <v>55</v>
      </c>
      <c r="D15" t="s">
        <v>62</v>
      </c>
      <c r="E15" s="9">
        <v>173.00275482093664</v>
      </c>
      <c r="F15" s="5">
        <v>1</v>
      </c>
      <c r="G15" s="12">
        <v>173.00275482093664</v>
      </c>
    </row>
    <row r="16" spans="1:8" x14ac:dyDescent="0.3">
      <c r="D16" t="s">
        <v>92</v>
      </c>
      <c r="E16" s="9">
        <v>173.00275482093664</v>
      </c>
      <c r="F16" s="5">
        <v>1</v>
      </c>
      <c r="G16" s="12">
        <v>173.00275482093664</v>
      </c>
    </row>
    <row r="17" spans="1:8" x14ac:dyDescent="0.3">
      <c r="B17" s="11" t="s">
        <v>170</v>
      </c>
      <c r="C17" s="11"/>
      <c r="D17" s="11"/>
      <c r="E17" s="11"/>
      <c r="F17" s="7">
        <v>2</v>
      </c>
      <c r="G17" s="13">
        <v>346.00550964187329</v>
      </c>
      <c r="H17" t="s">
        <v>173</v>
      </c>
    </row>
    <row r="18" spans="1:8" x14ac:dyDescent="0.3">
      <c r="A18" s="10" t="s">
        <v>167</v>
      </c>
      <c r="B18" s="10"/>
      <c r="C18" s="10"/>
      <c r="D18" s="10"/>
      <c r="E18" s="10"/>
      <c r="F18" s="6">
        <v>155</v>
      </c>
      <c r="G18" s="14">
        <v>18377.019283746555</v>
      </c>
    </row>
    <row r="19" spans="1:8" x14ac:dyDescent="0.3">
      <c r="A19" s="9" t="s">
        <v>164</v>
      </c>
      <c r="B19" s="9"/>
      <c r="C19" s="9"/>
      <c r="D19" s="9"/>
      <c r="E19" s="9"/>
      <c r="F19" s="5">
        <v>155</v>
      </c>
      <c r="G19" s="12">
        <v>18377.019283746555</v>
      </c>
    </row>
    <row r="20" spans="1:8" x14ac:dyDescent="0.3">
      <c r="E20"/>
    </row>
    <row r="21" spans="1:8" x14ac:dyDescent="0.3">
      <c r="E21"/>
    </row>
    <row r="22" spans="1:8" x14ac:dyDescent="0.3">
      <c r="E22"/>
    </row>
    <row r="23" spans="1:8" x14ac:dyDescent="0.3">
      <c r="E23"/>
    </row>
    <row r="24" spans="1:8" x14ac:dyDescent="0.3">
      <c r="E24"/>
    </row>
    <row r="25" spans="1:8" x14ac:dyDescent="0.3">
      <c r="E25"/>
    </row>
    <row r="26" spans="1:8" x14ac:dyDescent="0.3">
      <c r="E26"/>
    </row>
    <row r="27" spans="1:8" x14ac:dyDescent="0.3">
      <c r="E27"/>
    </row>
    <row r="28" spans="1:8" x14ac:dyDescent="0.3">
      <c r="E28"/>
    </row>
    <row r="29" spans="1:8" x14ac:dyDescent="0.3">
      <c r="E29"/>
    </row>
    <row r="30" spans="1:8" x14ac:dyDescent="0.3">
      <c r="E30"/>
    </row>
    <row r="31" spans="1:8" x14ac:dyDescent="0.3">
      <c r="E31"/>
    </row>
    <row r="32" spans="1:8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C79F-20A4-4C37-9E41-2E515BFC9330}">
  <dimension ref="A1:R47"/>
  <sheetViews>
    <sheetView workbookViewId="0">
      <selection activeCell="A2" sqref="A2:XFD1437"/>
    </sheetView>
  </sheetViews>
  <sheetFormatPr defaultRowHeight="15.05" x14ac:dyDescent="0.3"/>
  <cols>
    <col min="1" max="1" width="22" bestFit="1" customWidth="1"/>
    <col min="2" max="2" width="11.77734375" customWidth="1"/>
    <col min="3" max="3" width="16.44140625" customWidth="1"/>
    <col min="4" max="4" width="7.44140625" customWidth="1"/>
    <col min="5" max="5" width="6.88671875" customWidth="1"/>
    <col min="6" max="6" width="8.33203125" customWidth="1"/>
    <col min="7" max="7" width="6.33203125" customWidth="1"/>
    <col min="8" max="8" width="7.88671875" customWidth="1"/>
    <col min="9" max="9" width="13" customWidth="1"/>
    <col min="10" max="10" width="25.6640625" customWidth="1"/>
    <col min="11" max="11" width="19.88671875" customWidth="1"/>
    <col min="12" max="12" width="15.33203125" customWidth="1"/>
    <col min="13" max="13" width="80.88671875" customWidth="1"/>
    <col min="14" max="16" width="10.77734375" customWidth="1"/>
    <col min="17" max="17" width="33.33203125" bestFit="1" customWidth="1"/>
    <col min="18" max="18" width="1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132</v>
      </c>
      <c r="P1" t="s">
        <v>134</v>
      </c>
      <c r="Q1" t="s">
        <v>14</v>
      </c>
      <c r="R1" t="s">
        <v>133</v>
      </c>
    </row>
    <row r="2" spans="1:18" x14ac:dyDescent="0.3">
      <c r="A2" t="s">
        <v>18</v>
      </c>
      <c r="B2" s="1">
        <v>45470</v>
      </c>
      <c r="C2" s="1">
        <v>45473</v>
      </c>
      <c r="D2" t="s">
        <v>16</v>
      </c>
      <c r="E2">
        <v>2024</v>
      </c>
      <c r="F2">
        <v>6</v>
      </c>
      <c r="G2">
        <v>27</v>
      </c>
      <c r="H2">
        <v>26</v>
      </c>
      <c r="I2" s="3">
        <v>1</v>
      </c>
      <c r="J2" t="s">
        <v>54</v>
      </c>
      <c r="K2" t="s">
        <v>55</v>
      </c>
      <c r="L2" t="s">
        <v>17</v>
      </c>
      <c r="M2" t="s">
        <v>65</v>
      </c>
      <c r="N2" s="3">
        <v>157</v>
      </c>
      <c r="O2" s="3">
        <f>ApprovedTimeReport_002_202465[[#This Row],[CostRate]]/0.9075</f>
        <v>173.00275482093664</v>
      </c>
      <c r="P2" s="3">
        <f>ApprovedTimeReport_002_202465[[#This Row],[CostRate w/ Taxes]]*ApprovedTimeReport_002_202465[[#This Row],[Time Actual]]</f>
        <v>173.00275482093664</v>
      </c>
      <c r="Q2" t="s">
        <v>19</v>
      </c>
      <c r="R2" s="2" t="str">
        <f>VLOOKUP(ApprovedTimeReport_002_202465[[#This Row],[FunnelID]],Vlookup!A:B,2,0)</f>
        <v>FF</v>
      </c>
    </row>
    <row r="3" spans="1:18" x14ac:dyDescent="0.3">
      <c r="A3" t="s">
        <v>18</v>
      </c>
      <c r="B3" s="1">
        <v>45463</v>
      </c>
      <c r="C3" s="1">
        <v>45473</v>
      </c>
      <c r="D3" t="s">
        <v>16</v>
      </c>
      <c r="E3">
        <v>2024</v>
      </c>
      <c r="F3">
        <v>6</v>
      </c>
      <c r="G3">
        <v>20</v>
      </c>
      <c r="H3">
        <v>25</v>
      </c>
      <c r="I3" s="3">
        <v>1</v>
      </c>
      <c r="J3" t="s">
        <v>54</v>
      </c>
      <c r="K3" t="s">
        <v>55</v>
      </c>
      <c r="L3" t="s">
        <v>17</v>
      </c>
      <c r="M3" t="s">
        <v>84</v>
      </c>
      <c r="N3" s="3">
        <v>157</v>
      </c>
      <c r="O3" s="3">
        <f>ApprovedTimeReport_002_202465[[#This Row],[CostRate]]/0.9075</f>
        <v>173.00275482093664</v>
      </c>
      <c r="P3" s="3">
        <f>ApprovedTimeReport_002_202465[[#This Row],[CostRate w/ Taxes]]*ApprovedTimeReport_002_202465[[#This Row],[Time Actual]]</f>
        <v>173.00275482093664</v>
      </c>
      <c r="Q3" t="s">
        <v>19</v>
      </c>
      <c r="R3" s="2" t="str">
        <f>VLOOKUP(ApprovedTimeReport_002_202465[[#This Row],[FunnelID]],Vlookup!A:B,2,0)</f>
        <v>FF</v>
      </c>
    </row>
    <row r="4" spans="1:18" x14ac:dyDescent="0.3">
      <c r="A4" t="s">
        <v>18</v>
      </c>
      <c r="B4" s="1">
        <v>45461</v>
      </c>
      <c r="C4" s="1">
        <v>45473</v>
      </c>
      <c r="D4" t="s">
        <v>16</v>
      </c>
      <c r="E4">
        <v>2024</v>
      </c>
      <c r="F4">
        <v>6</v>
      </c>
      <c r="G4">
        <v>18</v>
      </c>
      <c r="H4">
        <v>25</v>
      </c>
      <c r="I4" s="3">
        <v>1</v>
      </c>
      <c r="J4" t="s">
        <v>54</v>
      </c>
      <c r="K4" t="s">
        <v>55</v>
      </c>
      <c r="L4" t="s">
        <v>17</v>
      </c>
      <c r="M4" t="s">
        <v>90</v>
      </c>
      <c r="N4" s="3">
        <v>157</v>
      </c>
      <c r="O4" s="3">
        <f>ApprovedTimeReport_002_202465[[#This Row],[CostRate]]/0.9075</f>
        <v>173.00275482093664</v>
      </c>
      <c r="P4" s="3">
        <f>ApprovedTimeReport_002_202465[[#This Row],[CostRate w/ Taxes]]*ApprovedTimeReport_002_202465[[#This Row],[Time Actual]]</f>
        <v>173.00275482093664</v>
      </c>
      <c r="Q4" t="s">
        <v>19</v>
      </c>
      <c r="R4" s="2" t="str">
        <f>VLOOKUP(ApprovedTimeReport_002_202465[[#This Row],[FunnelID]],Vlookup!A:B,2,0)</f>
        <v>FF</v>
      </c>
    </row>
    <row r="5" spans="1:18" x14ac:dyDescent="0.3">
      <c r="A5" t="s">
        <v>18</v>
      </c>
      <c r="B5" s="1">
        <v>45456</v>
      </c>
      <c r="C5" s="1">
        <v>45473</v>
      </c>
      <c r="D5" t="s">
        <v>16</v>
      </c>
      <c r="E5">
        <v>2024</v>
      </c>
      <c r="F5">
        <v>6</v>
      </c>
      <c r="G5">
        <v>13</v>
      </c>
      <c r="H5">
        <v>24</v>
      </c>
      <c r="I5" s="3">
        <v>1</v>
      </c>
      <c r="J5" t="s">
        <v>54</v>
      </c>
      <c r="K5" t="s">
        <v>55</v>
      </c>
      <c r="L5" t="s">
        <v>17</v>
      </c>
      <c r="M5" t="s">
        <v>104</v>
      </c>
      <c r="N5" s="3">
        <v>157</v>
      </c>
      <c r="O5" s="3">
        <f>ApprovedTimeReport_002_202465[[#This Row],[CostRate]]/0.9075</f>
        <v>173.00275482093664</v>
      </c>
      <c r="P5" s="3">
        <f>ApprovedTimeReport_002_202465[[#This Row],[CostRate w/ Taxes]]*ApprovedTimeReport_002_202465[[#This Row],[Time Actual]]</f>
        <v>173.00275482093664</v>
      </c>
      <c r="Q5" t="s">
        <v>19</v>
      </c>
      <c r="R5" s="2" t="str">
        <f>VLOOKUP(ApprovedTimeReport_002_202465[[#This Row],[FunnelID]],Vlookup!A:B,2,0)</f>
        <v>FF</v>
      </c>
    </row>
    <row r="6" spans="1:18" x14ac:dyDescent="0.3">
      <c r="A6" t="s">
        <v>18</v>
      </c>
      <c r="B6" s="1">
        <v>45449</v>
      </c>
      <c r="C6" s="1">
        <v>45473</v>
      </c>
      <c r="D6" t="s">
        <v>16</v>
      </c>
      <c r="E6">
        <v>2024</v>
      </c>
      <c r="F6">
        <v>6</v>
      </c>
      <c r="G6">
        <v>6</v>
      </c>
      <c r="H6">
        <v>23</v>
      </c>
      <c r="I6" s="3">
        <v>2</v>
      </c>
      <c r="J6" t="s">
        <v>54</v>
      </c>
      <c r="K6" t="s">
        <v>55</v>
      </c>
      <c r="L6" t="s">
        <v>17</v>
      </c>
      <c r="M6" t="s">
        <v>121</v>
      </c>
      <c r="N6" s="3">
        <v>157</v>
      </c>
      <c r="O6" s="3">
        <f>ApprovedTimeReport_002_202465[[#This Row],[CostRate]]/0.9075</f>
        <v>173.00275482093664</v>
      </c>
      <c r="P6" s="3">
        <f>ApprovedTimeReport_002_202465[[#This Row],[CostRate w/ Taxes]]*ApprovedTimeReport_002_202465[[#This Row],[Time Actual]]</f>
        <v>346.00550964187329</v>
      </c>
      <c r="Q6" t="s">
        <v>19</v>
      </c>
      <c r="R6" s="2" t="str">
        <f>VLOOKUP(ApprovedTimeReport_002_202465[[#This Row],[FunnelID]],Vlookup!A:B,2,0)</f>
        <v>FF</v>
      </c>
    </row>
    <row r="7" spans="1:18" x14ac:dyDescent="0.3">
      <c r="A7" t="s">
        <v>18</v>
      </c>
      <c r="B7" s="1">
        <v>45446</v>
      </c>
      <c r="C7" s="1">
        <v>45473</v>
      </c>
      <c r="D7" t="s">
        <v>16</v>
      </c>
      <c r="E7">
        <v>2024</v>
      </c>
      <c r="F7">
        <v>6</v>
      </c>
      <c r="G7">
        <v>3</v>
      </c>
      <c r="H7">
        <v>23</v>
      </c>
      <c r="I7" s="3">
        <v>1</v>
      </c>
      <c r="J7" t="s">
        <v>54</v>
      </c>
      <c r="K7" t="s">
        <v>55</v>
      </c>
      <c r="L7" t="s">
        <v>17</v>
      </c>
      <c r="M7" t="s">
        <v>129</v>
      </c>
      <c r="N7" s="3">
        <v>157</v>
      </c>
      <c r="O7" s="3">
        <f>ApprovedTimeReport_002_202465[[#This Row],[CostRate]]/0.9075</f>
        <v>173.00275482093664</v>
      </c>
      <c r="P7" s="3">
        <f>ApprovedTimeReport_002_202465[[#This Row],[CostRate w/ Taxes]]*ApprovedTimeReport_002_202465[[#This Row],[Time Actual]]</f>
        <v>173.00275482093664</v>
      </c>
      <c r="Q7" t="s">
        <v>19</v>
      </c>
      <c r="R7" s="2" t="str">
        <f>VLOOKUP(ApprovedTimeReport_002_202465[[#This Row],[FunnelID]],Vlookup!A:B,2,0)</f>
        <v>FF</v>
      </c>
    </row>
    <row r="8" spans="1:18" x14ac:dyDescent="0.3">
      <c r="A8" t="s">
        <v>44</v>
      </c>
      <c r="B8" s="1">
        <v>45462</v>
      </c>
      <c r="C8" s="1">
        <v>45473</v>
      </c>
      <c r="D8" t="s">
        <v>45</v>
      </c>
      <c r="E8">
        <v>2024</v>
      </c>
      <c r="F8">
        <v>6</v>
      </c>
      <c r="G8">
        <v>19</v>
      </c>
      <c r="H8">
        <v>25</v>
      </c>
      <c r="I8" s="3">
        <v>2</v>
      </c>
      <c r="J8" t="s">
        <v>54</v>
      </c>
      <c r="K8" t="s">
        <v>55</v>
      </c>
      <c r="L8" t="s">
        <v>17</v>
      </c>
      <c r="M8" t="s">
        <v>86</v>
      </c>
      <c r="N8" s="3">
        <v>157</v>
      </c>
      <c r="O8" s="3">
        <f>ApprovedTimeReport_002_202465[[#This Row],[CostRate]]/0.9075</f>
        <v>173.00275482093664</v>
      </c>
      <c r="P8" s="3">
        <f>ApprovedTimeReport_002_202465[[#This Row],[CostRate w/ Taxes]]*ApprovedTimeReport_002_202465[[#This Row],[Time Actual]]</f>
        <v>346.00550964187329</v>
      </c>
      <c r="Q8" t="s">
        <v>46</v>
      </c>
      <c r="R8" s="2" t="str">
        <f>VLOOKUP(ApprovedTimeReport_002_202465[[#This Row],[FunnelID]],Vlookup!A:B,2,0)</f>
        <v>FF</v>
      </c>
    </row>
    <row r="9" spans="1:18" x14ac:dyDescent="0.3">
      <c r="A9" t="s">
        <v>44</v>
      </c>
      <c r="B9" s="1">
        <v>45446</v>
      </c>
      <c r="C9" s="1">
        <v>45473</v>
      </c>
      <c r="D9" t="s">
        <v>45</v>
      </c>
      <c r="E9">
        <v>2024</v>
      </c>
      <c r="F9">
        <v>6</v>
      </c>
      <c r="G9">
        <v>3</v>
      </c>
      <c r="H9">
        <v>23</v>
      </c>
      <c r="I9" s="3">
        <v>2</v>
      </c>
      <c r="J9" t="s">
        <v>54</v>
      </c>
      <c r="K9" t="s">
        <v>55</v>
      </c>
      <c r="L9" t="s">
        <v>17</v>
      </c>
      <c r="M9" t="s">
        <v>130</v>
      </c>
      <c r="N9" s="3">
        <v>157</v>
      </c>
      <c r="O9" s="3">
        <f>ApprovedTimeReport_002_202465[[#This Row],[CostRate]]/0.9075</f>
        <v>173.00275482093664</v>
      </c>
      <c r="P9" s="3">
        <f>ApprovedTimeReport_002_202465[[#This Row],[CostRate w/ Taxes]]*ApprovedTimeReport_002_202465[[#This Row],[Time Actual]]</f>
        <v>346.00550964187329</v>
      </c>
      <c r="Q9" t="s">
        <v>46</v>
      </c>
      <c r="R9" s="2" t="str">
        <f>VLOOKUP(ApprovedTimeReport_002_202465[[#This Row],[FunnelID]],Vlookup!A:B,2,0)</f>
        <v>FF</v>
      </c>
    </row>
    <row r="10" spans="1:18" x14ac:dyDescent="0.3">
      <c r="A10" t="s">
        <v>62</v>
      </c>
      <c r="B10" s="1">
        <v>45469</v>
      </c>
      <c r="C10" s="1">
        <v>45473</v>
      </c>
      <c r="D10" t="s">
        <v>16</v>
      </c>
      <c r="E10">
        <v>2024</v>
      </c>
      <c r="F10">
        <v>6</v>
      </c>
      <c r="G10">
        <v>26</v>
      </c>
      <c r="H10">
        <v>26</v>
      </c>
      <c r="I10" s="3">
        <v>1</v>
      </c>
      <c r="J10" t="s">
        <v>54</v>
      </c>
      <c r="K10" t="s">
        <v>55</v>
      </c>
      <c r="L10" t="s">
        <v>17</v>
      </c>
      <c r="M10" t="s">
        <v>71</v>
      </c>
      <c r="N10" s="3">
        <v>157</v>
      </c>
      <c r="O10" s="3">
        <f>ApprovedTimeReport_002_202465[[#This Row],[CostRate]]/0.9075</f>
        <v>173.00275482093664</v>
      </c>
      <c r="P10" s="3">
        <f>ApprovedTimeReport_002_202465[[#This Row],[CostRate w/ Taxes]]*ApprovedTimeReport_002_202465[[#This Row],[Time Actual]]</f>
        <v>173.00275482093664</v>
      </c>
      <c r="Q10" t="s">
        <v>30</v>
      </c>
      <c r="R10" s="2" t="str">
        <f>VLOOKUP(ApprovedTimeReport_002_202465[[#This Row],[FunnelID]],Vlookup!A:B,2,0)</f>
        <v>T&amp;M</v>
      </c>
    </row>
    <row r="11" spans="1:18" x14ac:dyDescent="0.3">
      <c r="A11" t="s">
        <v>59</v>
      </c>
      <c r="B11" s="1">
        <v>45462</v>
      </c>
      <c r="C11" s="1">
        <v>45473</v>
      </c>
      <c r="D11" t="s">
        <v>16</v>
      </c>
      <c r="E11">
        <v>2024</v>
      </c>
      <c r="F11">
        <v>6</v>
      </c>
      <c r="G11">
        <v>19</v>
      </c>
      <c r="H11">
        <v>25</v>
      </c>
      <c r="I11" s="3">
        <v>2</v>
      </c>
      <c r="J11" t="s">
        <v>54</v>
      </c>
      <c r="K11" t="s">
        <v>55</v>
      </c>
      <c r="L11" t="s">
        <v>17</v>
      </c>
      <c r="M11" t="s">
        <v>88</v>
      </c>
      <c r="N11" s="3">
        <v>157</v>
      </c>
      <c r="O11" s="3">
        <f>ApprovedTimeReport_002_202465[[#This Row],[CostRate]]/0.9075</f>
        <v>173.00275482093664</v>
      </c>
      <c r="P11" s="3">
        <f>ApprovedTimeReport_002_202465[[#This Row],[CostRate w/ Taxes]]*ApprovedTimeReport_002_202465[[#This Row],[Time Actual]]</f>
        <v>346.00550964187329</v>
      </c>
      <c r="Q11" t="s">
        <v>60</v>
      </c>
      <c r="R11" s="2" t="str">
        <f>VLOOKUP(ApprovedTimeReport_002_202465[[#This Row],[FunnelID]],Vlookup!A:B,2,0)</f>
        <v>FF</v>
      </c>
    </row>
    <row r="12" spans="1:18" x14ac:dyDescent="0.3">
      <c r="A12" t="s">
        <v>36</v>
      </c>
      <c r="B12" s="1">
        <v>45461</v>
      </c>
      <c r="C12" s="1">
        <v>45473</v>
      </c>
      <c r="D12" t="s">
        <v>16</v>
      </c>
      <c r="E12">
        <v>2024</v>
      </c>
      <c r="F12">
        <v>6</v>
      </c>
      <c r="G12">
        <v>18</v>
      </c>
      <c r="H12">
        <v>25</v>
      </c>
      <c r="I12" s="3">
        <v>1</v>
      </c>
      <c r="J12" t="s">
        <v>54</v>
      </c>
      <c r="K12" t="s">
        <v>55</v>
      </c>
      <c r="L12" t="s">
        <v>17</v>
      </c>
      <c r="M12" t="s">
        <v>95</v>
      </c>
      <c r="N12" s="3">
        <v>157</v>
      </c>
      <c r="O12" s="3">
        <f>ApprovedTimeReport_002_202465[[#This Row],[CostRate]]/0.9075</f>
        <v>173.00275482093664</v>
      </c>
      <c r="P12" s="3">
        <f>ApprovedTimeReport_002_202465[[#This Row],[CostRate w/ Taxes]]*ApprovedTimeReport_002_202465[[#This Row],[Time Actual]]</f>
        <v>173.00275482093664</v>
      </c>
      <c r="Q12" t="s">
        <v>37</v>
      </c>
      <c r="R12" s="2" t="str">
        <f>VLOOKUP(ApprovedTimeReport_002_202465[[#This Row],[FunnelID]],Vlookup!A:B,2,0)</f>
        <v>FF</v>
      </c>
    </row>
    <row r="13" spans="1:18" x14ac:dyDescent="0.3">
      <c r="A13" t="s">
        <v>92</v>
      </c>
      <c r="B13" s="1">
        <v>45448</v>
      </c>
      <c r="C13" s="1">
        <v>45473</v>
      </c>
      <c r="D13" t="s">
        <v>16</v>
      </c>
      <c r="E13">
        <v>2024</v>
      </c>
      <c r="F13">
        <v>6</v>
      </c>
      <c r="G13">
        <v>5</v>
      </c>
      <c r="H13">
        <v>23</v>
      </c>
      <c r="I13" s="3">
        <v>1</v>
      </c>
      <c r="J13" t="s">
        <v>54</v>
      </c>
      <c r="K13" t="s">
        <v>55</v>
      </c>
      <c r="L13" t="s">
        <v>17</v>
      </c>
      <c r="M13" t="s">
        <v>124</v>
      </c>
      <c r="N13" s="3">
        <v>157</v>
      </c>
      <c r="O13" s="3">
        <f>ApprovedTimeReport_002_202465[[#This Row],[CostRate]]/0.9075</f>
        <v>173.00275482093664</v>
      </c>
      <c r="P13" s="3">
        <f>ApprovedTimeReport_002_202465[[#This Row],[CostRate w/ Taxes]]*ApprovedTimeReport_002_202465[[#This Row],[Time Actual]]</f>
        <v>173.00275482093664</v>
      </c>
      <c r="Q13" t="s">
        <v>58</v>
      </c>
      <c r="R13" s="2" t="str">
        <f>VLOOKUP(ApprovedTimeReport_002_202465[[#This Row],[FunnelID]],Vlookup!A:B,2,0)</f>
        <v>T&amp;M</v>
      </c>
    </row>
    <row r="14" spans="1:18" x14ac:dyDescent="0.3">
      <c r="A14" t="s">
        <v>48</v>
      </c>
      <c r="B14" s="1">
        <v>45471</v>
      </c>
      <c r="C14" s="1">
        <v>45474</v>
      </c>
      <c r="D14" t="s">
        <v>53</v>
      </c>
      <c r="E14">
        <v>2024</v>
      </c>
      <c r="F14">
        <v>6</v>
      </c>
      <c r="G14">
        <v>28</v>
      </c>
      <c r="H14">
        <v>26</v>
      </c>
      <c r="I14" s="3">
        <v>8</v>
      </c>
      <c r="J14" t="s">
        <v>54</v>
      </c>
      <c r="K14" t="s">
        <v>55</v>
      </c>
      <c r="L14" t="s">
        <v>39</v>
      </c>
      <c r="M14" t="s">
        <v>56</v>
      </c>
      <c r="N14" s="3">
        <v>99.83</v>
      </c>
      <c r="O14" s="3">
        <v>110</v>
      </c>
      <c r="P14" s="3">
        <f>ApprovedTimeReport_002_202465[[#This Row],[CostRate w/ Taxes]]*ApprovedTimeReport_002_202465[[#This Row],[Time Actual]]</f>
        <v>880</v>
      </c>
      <c r="Q14" t="s">
        <v>26</v>
      </c>
      <c r="R14" s="2" t="str">
        <f>VLOOKUP(ApprovedTimeReport_002_202465[[#This Row],[FunnelID]],Vlookup!A:B,2,0)</f>
        <v>NB</v>
      </c>
    </row>
    <row r="15" spans="1:18" x14ac:dyDescent="0.3">
      <c r="A15" t="s">
        <v>48</v>
      </c>
      <c r="B15" s="1">
        <v>45470</v>
      </c>
      <c r="C15" s="1">
        <v>45474</v>
      </c>
      <c r="D15" t="s">
        <v>53</v>
      </c>
      <c r="E15">
        <v>2024</v>
      </c>
      <c r="F15">
        <v>6</v>
      </c>
      <c r="G15">
        <v>27</v>
      </c>
      <c r="H15">
        <v>26</v>
      </c>
      <c r="I15" s="3">
        <v>5</v>
      </c>
      <c r="J15" t="s">
        <v>54</v>
      </c>
      <c r="K15" t="s">
        <v>55</v>
      </c>
      <c r="L15" t="s">
        <v>39</v>
      </c>
      <c r="M15" t="s">
        <v>63</v>
      </c>
      <c r="N15" s="3">
        <v>99.83</v>
      </c>
      <c r="O15" s="3">
        <v>110</v>
      </c>
      <c r="P15" s="3">
        <f>ApprovedTimeReport_002_202465[[#This Row],[CostRate w/ Taxes]]*ApprovedTimeReport_002_202465[[#This Row],[Time Actual]]</f>
        <v>550</v>
      </c>
      <c r="Q15" t="s">
        <v>26</v>
      </c>
      <c r="R15" s="2" t="str">
        <f>VLOOKUP(ApprovedTimeReport_002_202465[[#This Row],[FunnelID]],Vlookup!A:B,2,0)</f>
        <v>NB</v>
      </c>
    </row>
    <row r="16" spans="1:18" x14ac:dyDescent="0.3">
      <c r="A16" t="s">
        <v>48</v>
      </c>
      <c r="B16" s="1">
        <v>45469</v>
      </c>
      <c r="C16" s="1">
        <v>45474</v>
      </c>
      <c r="D16" t="s">
        <v>53</v>
      </c>
      <c r="E16">
        <v>2024</v>
      </c>
      <c r="F16">
        <v>6</v>
      </c>
      <c r="G16">
        <v>26</v>
      </c>
      <c r="H16">
        <v>26</v>
      </c>
      <c r="I16" s="3">
        <v>5</v>
      </c>
      <c r="J16" t="s">
        <v>54</v>
      </c>
      <c r="K16" t="s">
        <v>55</v>
      </c>
      <c r="L16" t="s">
        <v>39</v>
      </c>
      <c r="M16" t="s">
        <v>73</v>
      </c>
      <c r="N16" s="3">
        <v>99.83</v>
      </c>
      <c r="O16" s="3">
        <v>110</v>
      </c>
      <c r="P16" s="3">
        <f>ApprovedTimeReport_002_202465[[#This Row],[CostRate w/ Taxes]]*ApprovedTimeReport_002_202465[[#This Row],[Time Actual]]</f>
        <v>550</v>
      </c>
      <c r="Q16" t="s">
        <v>26</v>
      </c>
      <c r="R16" s="2" t="str">
        <f>VLOOKUP(ApprovedTimeReport_002_202465[[#This Row],[FunnelID]],Vlookup!A:B,2,0)</f>
        <v>NB</v>
      </c>
    </row>
    <row r="17" spans="1:18" x14ac:dyDescent="0.3">
      <c r="A17" t="s">
        <v>48</v>
      </c>
      <c r="B17" s="1">
        <v>45468</v>
      </c>
      <c r="C17" s="1">
        <v>45474</v>
      </c>
      <c r="D17" t="s">
        <v>53</v>
      </c>
      <c r="E17">
        <v>2024</v>
      </c>
      <c r="F17">
        <v>6</v>
      </c>
      <c r="G17">
        <v>25</v>
      </c>
      <c r="H17">
        <v>26</v>
      </c>
      <c r="I17" s="3">
        <v>8</v>
      </c>
      <c r="J17" t="s">
        <v>54</v>
      </c>
      <c r="K17" t="s">
        <v>55</v>
      </c>
      <c r="L17" t="s">
        <v>39</v>
      </c>
      <c r="M17" t="s">
        <v>74</v>
      </c>
      <c r="N17" s="3">
        <v>99.83</v>
      </c>
      <c r="O17" s="3">
        <v>110</v>
      </c>
      <c r="P17" s="3">
        <f>ApprovedTimeReport_002_202465[[#This Row],[CostRate w/ Taxes]]*ApprovedTimeReport_002_202465[[#This Row],[Time Actual]]</f>
        <v>880</v>
      </c>
      <c r="Q17" t="s">
        <v>26</v>
      </c>
      <c r="R17" s="2" t="str">
        <f>VLOOKUP(ApprovedTimeReport_002_202465[[#This Row],[FunnelID]],Vlookup!A:B,2,0)</f>
        <v>NB</v>
      </c>
    </row>
    <row r="18" spans="1:18" x14ac:dyDescent="0.3">
      <c r="A18" t="s">
        <v>48</v>
      </c>
      <c r="B18" s="1">
        <v>45467</v>
      </c>
      <c r="C18" s="1">
        <v>45474</v>
      </c>
      <c r="D18" t="s">
        <v>53</v>
      </c>
      <c r="E18">
        <v>2024</v>
      </c>
      <c r="F18">
        <v>6</v>
      </c>
      <c r="G18">
        <v>24</v>
      </c>
      <c r="H18">
        <v>26</v>
      </c>
      <c r="I18" s="3">
        <v>8</v>
      </c>
      <c r="J18" t="s">
        <v>54</v>
      </c>
      <c r="K18" t="s">
        <v>55</v>
      </c>
      <c r="L18" t="s">
        <v>39</v>
      </c>
      <c r="M18" t="s">
        <v>76</v>
      </c>
      <c r="N18" s="3">
        <v>99.83</v>
      </c>
      <c r="O18" s="3">
        <v>110</v>
      </c>
      <c r="P18" s="3">
        <f>ApprovedTimeReport_002_202465[[#This Row],[CostRate w/ Taxes]]*ApprovedTimeReport_002_202465[[#This Row],[Time Actual]]</f>
        <v>880</v>
      </c>
      <c r="Q18" t="s">
        <v>26</v>
      </c>
      <c r="R18" s="2" t="str">
        <f>VLOOKUP(ApprovedTimeReport_002_202465[[#This Row],[FunnelID]],Vlookup!A:B,2,0)</f>
        <v>NB</v>
      </c>
    </row>
    <row r="19" spans="1:18" x14ac:dyDescent="0.3">
      <c r="A19" t="s">
        <v>48</v>
      </c>
      <c r="B19" s="1">
        <v>45464</v>
      </c>
      <c r="C19" s="1">
        <v>45474</v>
      </c>
      <c r="D19" t="s">
        <v>53</v>
      </c>
      <c r="E19">
        <v>2024</v>
      </c>
      <c r="F19">
        <v>6</v>
      </c>
      <c r="G19">
        <v>21</v>
      </c>
      <c r="H19">
        <v>25</v>
      </c>
      <c r="I19" s="3">
        <v>5</v>
      </c>
      <c r="J19" t="s">
        <v>54</v>
      </c>
      <c r="K19" t="s">
        <v>55</v>
      </c>
      <c r="L19" t="s">
        <v>39</v>
      </c>
      <c r="M19" t="s">
        <v>79</v>
      </c>
      <c r="N19" s="3">
        <v>99.83</v>
      </c>
      <c r="O19" s="3">
        <v>110</v>
      </c>
      <c r="P19" s="3">
        <f>ApprovedTimeReport_002_202465[[#This Row],[CostRate w/ Taxes]]*ApprovedTimeReport_002_202465[[#This Row],[Time Actual]]</f>
        <v>550</v>
      </c>
      <c r="Q19" t="s">
        <v>26</v>
      </c>
      <c r="R19" s="2" t="str">
        <f>VLOOKUP(ApprovedTimeReport_002_202465[[#This Row],[FunnelID]],Vlookup!A:B,2,0)</f>
        <v>NB</v>
      </c>
    </row>
    <row r="20" spans="1:18" x14ac:dyDescent="0.3">
      <c r="A20" t="s">
        <v>48</v>
      </c>
      <c r="B20" s="1">
        <v>45463</v>
      </c>
      <c r="C20" s="1">
        <v>45474</v>
      </c>
      <c r="D20" t="s">
        <v>53</v>
      </c>
      <c r="E20">
        <v>2024</v>
      </c>
      <c r="F20">
        <v>6</v>
      </c>
      <c r="G20">
        <v>20</v>
      </c>
      <c r="H20">
        <v>25</v>
      </c>
      <c r="I20" s="3">
        <v>3</v>
      </c>
      <c r="J20" t="s">
        <v>54</v>
      </c>
      <c r="K20" t="s">
        <v>55</v>
      </c>
      <c r="L20" t="s">
        <v>39</v>
      </c>
      <c r="M20" t="s">
        <v>83</v>
      </c>
      <c r="N20" s="3">
        <v>99.83</v>
      </c>
      <c r="O20" s="3">
        <v>110</v>
      </c>
      <c r="P20" s="3">
        <f>ApprovedTimeReport_002_202465[[#This Row],[CostRate w/ Taxes]]*ApprovedTimeReport_002_202465[[#This Row],[Time Actual]]</f>
        <v>330</v>
      </c>
      <c r="Q20" t="s">
        <v>26</v>
      </c>
      <c r="R20" s="2" t="str">
        <f>VLOOKUP(ApprovedTimeReport_002_202465[[#This Row],[FunnelID]],Vlookup!A:B,2,0)</f>
        <v>NB</v>
      </c>
    </row>
    <row r="21" spans="1:18" x14ac:dyDescent="0.3">
      <c r="A21" t="s">
        <v>48</v>
      </c>
      <c r="B21" s="1">
        <v>45462</v>
      </c>
      <c r="C21" s="1">
        <v>45474</v>
      </c>
      <c r="D21" t="s">
        <v>53</v>
      </c>
      <c r="E21">
        <v>2024</v>
      </c>
      <c r="F21">
        <v>6</v>
      </c>
      <c r="G21">
        <v>19</v>
      </c>
      <c r="H21">
        <v>25</v>
      </c>
      <c r="I21" s="3">
        <v>4</v>
      </c>
      <c r="J21" t="s">
        <v>54</v>
      </c>
      <c r="K21" t="s">
        <v>55</v>
      </c>
      <c r="L21" t="s">
        <v>39</v>
      </c>
      <c r="M21" t="s">
        <v>85</v>
      </c>
      <c r="N21" s="3">
        <v>99.83</v>
      </c>
      <c r="O21" s="3">
        <v>110</v>
      </c>
      <c r="P21" s="3">
        <f>ApprovedTimeReport_002_202465[[#This Row],[CostRate w/ Taxes]]*ApprovedTimeReport_002_202465[[#This Row],[Time Actual]]</f>
        <v>440</v>
      </c>
      <c r="Q21" t="s">
        <v>26</v>
      </c>
      <c r="R21" s="2" t="str">
        <f>VLOOKUP(ApprovedTimeReport_002_202465[[#This Row],[FunnelID]],Vlookup!A:B,2,0)</f>
        <v>NB</v>
      </c>
    </row>
    <row r="22" spans="1:18" x14ac:dyDescent="0.3">
      <c r="A22" t="s">
        <v>48</v>
      </c>
      <c r="B22" s="1">
        <v>45461</v>
      </c>
      <c r="C22" s="1">
        <v>45474</v>
      </c>
      <c r="D22" t="s">
        <v>53</v>
      </c>
      <c r="E22">
        <v>2024</v>
      </c>
      <c r="F22">
        <v>6</v>
      </c>
      <c r="G22">
        <v>18</v>
      </c>
      <c r="H22">
        <v>25</v>
      </c>
      <c r="I22" s="3">
        <v>6</v>
      </c>
      <c r="J22" t="s">
        <v>54</v>
      </c>
      <c r="K22" t="s">
        <v>55</v>
      </c>
      <c r="L22" t="s">
        <v>39</v>
      </c>
      <c r="M22" t="s">
        <v>91</v>
      </c>
      <c r="N22" s="3">
        <v>99.83</v>
      </c>
      <c r="O22" s="3">
        <v>110</v>
      </c>
      <c r="P22" s="3">
        <f>ApprovedTimeReport_002_202465[[#This Row],[CostRate w/ Taxes]]*ApprovedTimeReport_002_202465[[#This Row],[Time Actual]]</f>
        <v>660</v>
      </c>
      <c r="Q22" t="s">
        <v>26</v>
      </c>
      <c r="R22" s="2" t="str">
        <f>VLOOKUP(ApprovedTimeReport_002_202465[[#This Row],[FunnelID]],Vlookup!A:B,2,0)</f>
        <v>NB</v>
      </c>
    </row>
    <row r="23" spans="1:18" x14ac:dyDescent="0.3">
      <c r="A23" t="s">
        <v>48</v>
      </c>
      <c r="B23" s="1">
        <v>45460</v>
      </c>
      <c r="C23" s="1">
        <v>45474</v>
      </c>
      <c r="D23" t="s">
        <v>53</v>
      </c>
      <c r="E23">
        <v>2024</v>
      </c>
      <c r="F23">
        <v>6</v>
      </c>
      <c r="G23">
        <v>17</v>
      </c>
      <c r="H23">
        <v>25</v>
      </c>
      <c r="I23" s="3">
        <v>7</v>
      </c>
      <c r="J23" t="s">
        <v>54</v>
      </c>
      <c r="K23" t="s">
        <v>55</v>
      </c>
      <c r="L23" t="s">
        <v>39</v>
      </c>
      <c r="M23" t="s">
        <v>98</v>
      </c>
      <c r="N23" s="3">
        <v>99.83</v>
      </c>
      <c r="O23" s="3">
        <v>110</v>
      </c>
      <c r="P23" s="3">
        <f>ApprovedTimeReport_002_202465[[#This Row],[CostRate w/ Taxes]]*ApprovedTimeReport_002_202465[[#This Row],[Time Actual]]</f>
        <v>770</v>
      </c>
      <c r="Q23" t="s">
        <v>26</v>
      </c>
      <c r="R23" s="2" t="str">
        <f>VLOOKUP(ApprovedTimeReport_002_202465[[#This Row],[FunnelID]],Vlookup!A:B,2,0)</f>
        <v>NB</v>
      </c>
    </row>
    <row r="24" spans="1:18" x14ac:dyDescent="0.3">
      <c r="A24" t="s">
        <v>48</v>
      </c>
      <c r="B24" s="1">
        <v>45457</v>
      </c>
      <c r="C24" s="1">
        <v>45474</v>
      </c>
      <c r="D24" t="s">
        <v>53</v>
      </c>
      <c r="E24">
        <v>2024</v>
      </c>
      <c r="F24">
        <v>6</v>
      </c>
      <c r="G24">
        <v>14</v>
      </c>
      <c r="H24">
        <v>24</v>
      </c>
      <c r="I24" s="3">
        <v>6</v>
      </c>
      <c r="J24" t="s">
        <v>54</v>
      </c>
      <c r="K24" t="s">
        <v>55</v>
      </c>
      <c r="L24" t="s">
        <v>39</v>
      </c>
      <c r="M24" t="s">
        <v>102</v>
      </c>
      <c r="N24" s="3">
        <v>99.83</v>
      </c>
      <c r="O24" s="3">
        <v>110</v>
      </c>
      <c r="P24" s="3">
        <f>ApprovedTimeReport_002_202465[[#This Row],[CostRate w/ Taxes]]*ApprovedTimeReport_002_202465[[#This Row],[Time Actual]]</f>
        <v>660</v>
      </c>
      <c r="Q24" t="s">
        <v>26</v>
      </c>
      <c r="R24" s="2" t="str">
        <f>VLOOKUP(ApprovedTimeReport_002_202465[[#This Row],[FunnelID]],Vlookup!A:B,2,0)</f>
        <v>NB</v>
      </c>
    </row>
    <row r="25" spans="1:18" x14ac:dyDescent="0.3">
      <c r="A25" t="s">
        <v>48</v>
      </c>
      <c r="B25" s="1">
        <v>45456</v>
      </c>
      <c r="C25" s="1">
        <v>45474</v>
      </c>
      <c r="D25" t="s">
        <v>53</v>
      </c>
      <c r="E25">
        <v>2024</v>
      </c>
      <c r="F25">
        <v>6</v>
      </c>
      <c r="G25">
        <v>13</v>
      </c>
      <c r="H25">
        <v>24</v>
      </c>
      <c r="I25" s="3">
        <v>5</v>
      </c>
      <c r="J25" t="s">
        <v>54</v>
      </c>
      <c r="K25" t="s">
        <v>55</v>
      </c>
      <c r="L25" t="s">
        <v>39</v>
      </c>
      <c r="M25" t="s">
        <v>106</v>
      </c>
      <c r="N25" s="3">
        <v>99.83</v>
      </c>
      <c r="O25" s="3">
        <v>110</v>
      </c>
      <c r="P25" s="3">
        <f>ApprovedTimeReport_002_202465[[#This Row],[CostRate w/ Taxes]]*ApprovedTimeReport_002_202465[[#This Row],[Time Actual]]</f>
        <v>550</v>
      </c>
      <c r="Q25" t="s">
        <v>26</v>
      </c>
      <c r="R25" s="2" t="str">
        <f>VLOOKUP(ApprovedTimeReport_002_202465[[#This Row],[FunnelID]],Vlookup!A:B,2,0)</f>
        <v>NB</v>
      </c>
    </row>
    <row r="26" spans="1:18" x14ac:dyDescent="0.3">
      <c r="A26" t="s">
        <v>48</v>
      </c>
      <c r="B26" s="1">
        <v>45455</v>
      </c>
      <c r="C26" s="1">
        <v>45474</v>
      </c>
      <c r="D26" t="s">
        <v>53</v>
      </c>
      <c r="E26">
        <v>2024</v>
      </c>
      <c r="F26">
        <v>6</v>
      </c>
      <c r="G26">
        <v>12</v>
      </c>
      <c r="H26">
        <v>24</v>
      </c>
      <c r="I26" s="3">
        <v>6</v>
      </c>
      <c r="J26" t="s">
        <v>54</v>
      </c>
      <c r="K26" t="s">
        <v>55</v>
      </c>
      <c r="L26" t="s">
        <v>39</v>
      </c>
      <c r="M26" t="s">
        <v>107</v>
      </c>
      <c r="N26" s="3">
        <v>99.83</v>
      </c>
      <c r="O26" s="3">
        <v>110</v>
      </c>
      <c r="P26" s="3">
        <f>ApprovedTimeReport_002_202465[[#This Row],[CostRate w/ Taxes]]*ApprovedTimeReport_002_202465[[#This Row],[Time Actual]]</f>
        <v>660</v>
      </c>
      <c r="Q26" t="s">
        <v>26</v>
      </c>
      <c r="R26" s="2" t="str">
        <f>VLOOKUP(ApprovedTimeReport_002_202465[[#This Row],[FunnelID]],Vlookup!A:B,2,0)</f>
        <v>NB</v>
      </c>
    </row>
    <row r="27" spans="1:18" x14ac:dyDescent="0.3">
      <c r="A27" t="s">
        <v>48</v>
      </c>
      <c r="B27" s="1">
        <v>45454</v>
      </c>
      <c r="C27" s="1">
        <v>45474</v>
      </c>
      <c r="D27" t="s">
        <v>53</v>
      </c>
      <c r="E27">
        <v>2024</v>
      </c>
      <c r="F27">
        <v>6</v>
      </c>
      <c r="G27">
        <v>11</v>
      </c>
      <c r="H27">
        <v>24</v>
      </c>
      <c r="I27" s="3">
        <v>4</v>
      </c>
      <c r="J27" t="s">
        <v>54</v>
      </c>
      <c r="K27" t="s">
        <v>55</v>
      </c>
      <c r="L27" t="s">
        <v>39</v>
      </c>
      <c r="M27" t="s">
        <v>112</v>
      </c>
      <c r="N27" s="3">
        <v>99.83</v>
      </c>
      <c r="O27" s="3">
        <v>110</v>
      </c>
      <c r="P27" s="3">
        <f>ApprovedTimeReport_002_202465[[#This Row],[CostRate w/ Taxes]]*ApprovedTimeReport_002_202465[[#This Row],[Time Actual]]</f>
        <v>440</v>
      </c>
      <c r="Q27" t="s">
        <v>26</v>
      </c>
      <c r="R27" s="2" t="str">
        <f>VLOOKUP(ApprovedTimeReport_002_202465[[#This Row],[FunnelID]],Vlookup!A:B,2,0)</f>
        <v>NB</v>
      </c>
    </row>
    <row r="28" spans="1:18" x14ac:dyDescent="0.3">
      <c r="A28" t="s">
        <v>48</v>
      </c>
      <c r="B28" s="1">
        <v>45453</v>
      </c>
      <c r="C28" s="1">
        <v>45474</v>
      </c>
      <c r="D28" t="s">
        <v>53</v>
      </c>
      <c r="E28">
        <v>2024</v>
      </c>
      <c r="F28">
        <v>6</v>
      </c>
      <c r="G28">
        <v>10</v>
      </c>
      <c r="H28">
        <v>24</v>
      </c>
      <c r="I28" s="3">
        <v>7</v>
      </c>
      <c r="J28" t="s">
        <v>54</v>
      </c>
      <c r="K28" t="s">
        <v>55</v>
      </c>
      <c r="L28" t="s">
        <v>39</v>
      </c>
      <c r="M28" t="s">
        <v>117</v>
      </c>
      <c r="N28" s="3">
        <v>99.83</v>
      </c>
      <c r="O28" s="3">
        <v>110</v>
      </c>
      <c r="P28" s="3">
        <f>ApprovedTimeReport_002_202465[[#This Row],[CostRate w/ Taxes]]*ApprovedTimeReport_002_202465[[#This Row],[Time Actual]]</f>
        <v>770</v>
      </c>
      <c r="Q28" t="s">
        <v>26</v>
      </c>
      <c r="R28" s="2" t="str">
        <f>VLOOKUP(ApprovedTimeReport_002_202465[[#This Row],[FunnelID]],Vlookup!A:B,2,0)</f>
        <v>NB</v>
      </c>
    </row>
    <row r="29" spans="1:18" x14ac:dyDescent="0.3">
      <c r="A29" t="s">
        <v>48</v>
      </c>
      <c r="B29" s="1">
        <v>45450</v>
      </c>
      <c r="C29" s="1">
        <v>45474</v>
      </c>
      <c r="D29" t="s">
        <v>53</v>
      </c>
      <c r="E29">
        <v>2024</v>
      </c>
      <c r="F29">
        <v>6</v>
      </c>
      <c r="G29">
        <v>7</v>
      </c>
      <c r="H29">
        <v>23</v>
      </c>
      <c r="I29" s="3">
        <v>8</v>
      </c>
      <c r="J29" t="s">
        <v>54</v>
      </c>
      <c r="K29" t="s">
        <v>55</v>
      </c>
      <c r="L29" t="s">
        <v>39</v>
      </c>
      <c r="M29" t="s">
        <v>119</v>
      </c>
      <c r="N29" s="3">
        <v>99.83</v>
      </c>
      <c r="O29" s="3">
        <v>110</v>
      </c>
      <c r="P29" s="3">
        <f>ApprovedTimeReport_002_202465[[#This Row],[CostRate w/ Taxes]]*ApprovedTimeReport_002_202465[[#This Row],[Time Actual]]</f>
        <v>880</v>
      </c>
      <c r="Q29" t="s">
        <v>26</v>
      </c>
      <c r="R29" s="2" t="str">
        <f>VLOOKUP(ApprovedTimeReport_002_202465[[#This Row],[FunnelID]],Vlookup!A:B,2,0)</f>
        <v>NB</v>
      </c>
    </row>
    <row r="30" spans="1:18" x14ac:dyDescent="0.3">
      <c r="A30" t="s">
        <v>48</v>
      </c>
      <c r="B30" s="1">
        <v>45449</v>
      </c>
      <c r="C30" s="1">
        <v>45474</v>
      </c>
      <c r="D30" t="s">
        <v>53</v>
      </c>
      <c r="E30">
        <v>2024</v>
      </c>
      <c r="F30">
        <v>6</v>
      </c>
      <c r="G30">
        <v>6</v>
      </c>
      <c r="H30">
        <v>23</v>
      </c>
      <c r="I30" s="3">
        <v>5</v>
      </c>
      <c r="J30" t="s">
        <v>54</v>
      </c>
      <c r="K30" t="s">
        <v>55</v>
      </c>
      <c r="L30" t="s">
        <v>39</v>
      </c>
      <c r="M30" t="s">
        <v>122</v>
      </c>
      <c r="N30" s="3">
        <v>99.83</v>
      </c>
      <c r="O30" s="3">
        <v>110</v>
      </c>
      <c r="P30" s="3">
        <f>ApprovedTimeReport_002_202465[[#This Row],[CostRate w/ Taxes]]*ApprovedTimeReport_002_202465[[#This Row],[Time Actual]]</f>
        <v>550</v>
      </c>
      <c r="Q30" t="s">
        <v>26</v>
      </c>
      <c r="R30" s="2" t="str">
        <f>VLOOKUP(ApprovedTimeReport_002_202465[[#This Row],[FunnelID]],Vlookup!A:B,2,0)</f>
        <v>NB</v>
      </c>
    </row>
    <row r="31" spans="1:18" x14ac:dyDescent="0.3">
      <c r="A31" t="s">
        <v>48</v>
      </c>
      <c r="B31" s="1">
        <v>45448</v>
      </c>
      <c r="C31" s="1">
        <v>45473</v>
      </c>
      <c r="D31" t="s">
        <v>53</v>
      </c>
      <c r="E31">
        <v>2024</v>
      </c>
      <c r="F31">
        <v>6</v>
      </c>
      <c r="G31">
        <v>5</v>
      </c>
      <c r="H31">
        <v>23</v>
      </c>
      <c r="I31" s="3">
        <v>7</v>
      </c>
      <c r="J31" t="s">
        <v>54</v>
      </c>
      <c r="K31" t="s">
        <v>55</v>
      </c>
      <c r="L31" t="s">
        <v>39</v>
      </c>
      <c r="M31" t="s">
        <v>123</v>
      </c>
      <c r="N31" s="3">
        <v>99.83</v>
      </c>
      <c r="O31" s="3">
        <v>110</v>
      </c>
      <c r="P31" s="3">
        <f>ApprovedTimeReport_002_202465[[#This Row],[CostRate w/ Taxes]]*ApprovedTimeReport_002_202465[[#This Row],[Time Actual]]</f>
        <v>770</v>
      </c>
      <c r="Q31" t="s">
        <v>26</v>
      </c>
      <c r="R31" s="2" t="str">
        <f>VLOOKUP(ApprovedTimeReport_002_202465[[#This Row],[FunnelID]],Vlookup!A:B,2,0)</f>
        <v>NB</v>
      </c>
    </row>
    <row r="32" spans="1:18" x14ac:dyDescent="0.3">
      <c r="A32" t="s">
        <v>48</v>
      </c>
      <c r="B32" s="1">
        <v>45447</v>
      </c>
      <c r="C32" s="1">
        <v>45473</v>
      </c>
      <c r="D32" t="s">
        <v>53</v>
      </c>
      <c r="E32">
        <v>2024</v>
      </c>
      <c r="F32">
        <v>6</v>
      </c>
      <c r="G32">
        <v>4</v>
      </c>
      <c r="H32">
        <v>23</v>
      </c>
      <c r="I32" s="3">
        <v>6</v>
      </c>
      <c r="J32" t="s">
        <v>54</v>
      </c>
      <c r="K32" t="s">
        <v>55</v>
      </c>
      <c r="L32" t="s">
        <v>39</v>
      </c>
      <c r="M32" t="s">
        <v>126</v>
      </c>
      <c r="N32" s="3">
        <v>99.83</v>
      </c>
      <c r="O32" s="3">
        <v>110</v>
      </c>
      <c r="P32" s="3">
        <f>ApprovedTimeReport_002_202465[[#This Row],[CostRate w/ Taxes]]*ApprovedTimeReport_002_202465[[#This Row],[Time Actual]]</f>
        <v>660</v>
      </c>
      <c r="Q32" t="s">
        <v>26</v>
      </c>
      <c r="R32" s="2" t="str">
        <f>VLOOKUP(ApprovedTimeReport_002_202465[[#This Row],[FunnelID]],Vlookup!A:B,2,0)</f>
        <v>NB</v>
      </c>
    </row>
    <row r="33" spans="1:18" x14ac:dyDescent="0.3">
      <c r="A33" t="s">
        <v>48</v>
      </c>
      <c r="B33" s="1">
        <v>45446</v>
      </c>
      <c r="C33" s="1">
        <v>45473</v>
      </c>
      <c r="D33" t="s">
        <v>53</v>
      </c>
      <c r="E33">
        <v>2024</v>
      </c>
      <c r="F33">
        <v>6</v>
      </c>
      <c r="G33">
        <v>3</v>
      </c>
      <c r="H33">
        <v>23</v>
      </c>
      <c r="I33" s="3">
        <v>2</v>
      </c>
      <c r="J33" t="s">
        <v>54</v>
      </c>
      <c r="K33" t="s">
        <v>55</v>
      </c>
      <c r="L33" t="s">
        <v>39</v>
      </c>
      <c r="M33" t="s">
        <v>131</v>
      </c>
      <c r="N33" s="3">
        <v>99.83</v>
      </c>
      <c r="O33" s="3">
        <v>110</v>
      </c>
      <c r="P33" s="3">
        <f>ApprovedTimeReport_002_202465[[#This Row],[CostRate w/ Taxes]]*ApprovedTimeReport_002_202465[[#This Row],[Time Actual]]</f>
        <v>220</v>
      </c>
      <c r="Q33" t="s">
        <v>26</v>
      </c>
      <c r="R33" s="2" t="str">
        <f>VLOOKUP(ApprovedTimeReport_002_202465[[#This Row],[FunnelID]],Vlookup!A:B,2,0)</f>
        <v>NB</v>
      </c>
    </row>
    <row r="34" spans="1:18" x14ac:dyDescent="0.3">
      <c r="A34" t="s">
        <v>57</v>
      </c>
      <c r="B34" s="1">
        <v>45469</v>
      </c>
      <c r="C34" s="1">
        <v>45473</v>
      </c>
      <c r="D34" t="s">
        <v>16</v>
      </c>
      <c r="E34">
        <v>2024</v>
      </c>
      <c r="F34">
        <v>6</v>
      </c>
      <c r="G34">
        <v>26</v>
      </c>
      <c r="H34">
        <v>26</v>
      </c>
      <c r="I34" s="3">
        <v>1</v>
      </c>
      <c r="J34" t="s">
        <v>54</v>
      </c>
      <c r="K34" t="s">
        <v>55</v>
      </c>
      <c r="L34" t="s">
        <v>17</v>
      </c>
      <c r="M34" t="s">
        <v>70</v>
      </c>
      <c r="N34" s="3">
        <v>99.83</v>
      </c>
      <c r="O34" s="3">
        <v>110</v>
      </c>
      <c r="P34" s="3">
        <f>ApprovedTimeReport_002_202465[[#This Row],[CostRate w/ Taxes]]*ApprovedTimeReport_002_202465[[#This Row],[Time Actual]]</f>
        <v>110</v>
      </c>
      <c r="Q34" t="s">
        <v>26</v>
      </c>
      <c r="R34" s="2" t="str">
        <f>VLOOKUP(ApprovedTimeReport_002_202465[[#This Row],[FunnelID]],Vlookup!A:B,2,0)</f>
        <v>NB</v>
      </c>
    </row>
    <row r="35" spans="1:18" x14ac:dyDescent="0.3">
      <c r="A35" t="s">
        <v>57</v>
      </c>
      <c r="B35" s="1">
        <v>45457</v>
      </c>
      <c r="C35" s="1">
        <v>45473</v>
      </c>
      <c r="D35" t="s">
        <v>16</v>
      </c>
      <c r="E35">
        <v>2024</v>
      </c>
      <c r="F35">
        <v>6</v>
      </c>
      <c r="G35">
        <v>14</v>
      </c>
      <c r="H35">
        <v>24</v>
      </c>
      <c r="I35" s="3">
        <v>2</v>
      </c>
      <c r="J35" t="s">
        <v>54</v>
      </c>
      <c r="K35" t="s">
        <v>55</v>
      </c>
      <c r="L35" t="s">
        <v>17</v>
      </c>
      <c r="M35" t="s">
        <v>100</v>
      </c>
      <c r="N35" s="3">
        <v>99.83</v>
      </c>
      <c r="O35" s="3">
        <v>110</v>
      </c>
      <c r="P35" s="3">
        <f>ApprovedTimeReport_002_202465[[#This Row],[CostRate w/ Taxes]]*ApprovedTimeReport_002_202465[[#This Row],[Time Actual]]</f>
        <v>220</v>
      </c>
      <c r="Q35" t="s">
        <v>26</v>
      </c>
      <c r="R35" s="2" t="str">
        <f>VLOOKUP(ApprovedTimeReport_002_202465[[#This Row],[FunnelID]],Vlookup!A:B,2,0)</f>
        <v>NB</v>
      </c>
    </row>
    <row r="36" spans="1:18" x14ac:dyDescent="0.3">
      <c r="A36" t="s">
        <v>57</v>
      </c>
      <c r="B36" s="1">
        <v>45455</v>
      </c>
      <c r="C36" s="1">
        <v>45473</v>
      </c>
      <c r="D36" t="s">
        <v>16</v>
      </c>
      <c r="E36">
        <v>2024</v>
      </c>
      <c r="F36">
        <v>6</v>
      </c>
      <c r="G36">
        <v>12</v>
      </c>
      <c r="H36">
        <v>24</v>
      </c>
      <c r="I36" s="3">
        <v>2</v>
      </c>
      <c r="J36" t="s">
        <v>54</v>
      </c>
      <c r="K36" t="s">
        <v>55</v>
      </c>
      <c r="L36" t="s">
        <v>17</v>
      </c>
      <c r="M36" t="s">
        <v>108</v>
      </c>
      <c r="N36" s="3">
        <v>99.83</v>
      </c>
      <c r="O36" s="3">
        <v>110</v>
      </c>
      <c r="P36" s="3">
        <f>ApprovedTimeReport_002_202465[[#This Row],[CostRate w/ Taxes]]*ApprovedTimeReport_002_202465[[#This Row],[Time Actual]]</f>
        <v>220</v>
      </c>
      <c r="Q36" t="s">
        <v>26</v>
      </c>
      <c r="R36" s="2" t="str">
        <f>VLOOKUP(ApprovedTimeReport_002_202465[[#This Row],[FunnelID]],Vlookup!A:B,2,0)</f>
        <v>NB</v>
      </c>
    </row>
    <row r="37" spans="1:18" x14ac:dyDescent="0.3">
      <c r="A37" t="s">
        <v>57</v>
      </c>
      <c r="B37" s="1">
        <v>45453</v>
      </c>
      <c r="C37" s="1">
        <v>45473</v>
      </c>
      <c r="D37" t="s">
        <v>16</v>
      </c>
      <c r="E37">
        <v>2024</v>
      </c>
      <c r="F37">
        <v>6</v>
      </c>
      <c r="G37">
        <v>10</v>
      </c>
      <c r="H37">
        <v>24</v>
      </c>
      <c r="I37" s="3">
        <v>1</v>
      </c>
      <c r="J37" t="s">
        <v>54</v>
      </c>
      <c r="K37" t="s">
        <v>55</v>
      </c>
      <c r="L37" t="s">
        <v>17</v>
      </c>
      <c r="M37" t="s">
        <v>116</v>
      </c>
      <c r="N37" s="3">
        <v>99.83</v>
      </c>
      <c r="O37" s="3">
        <v>110</v>
      </c>
      <c r="P37" s="3">
        <f>ApprovedTimeReport_002_202465[[#This Row],[CostRate w/ Taxes]]*ApprovedTimeReport_002_202465[[#This Row],[Time Actual]]</f>
        <v>110</v>
      </c>
      <c r="Q37" t="s">
        <v>26</v>
      </c>
      <c r="R37" s="2" t="str">
        <f>VLOOKUP(ApprovedTimeReport_002_202465[[#This Row],[FunnelID]],Vlookup!A:B,2,0)</f>
        <v>NB</v>
      </c>
    </row>
    <row r="38" spans="1:18" x14ac:dyDescent="0.3">
      <c r="A38" t="s">
        <v>57</v>
      </c>
      <c r="B38" s="1">
        <v>45446</v>
      </c>
      <c r="C38" s="1">
        <v>45473</v>
      </c>
      <c r="D38" t="s">
        <v>16</v>
      </c>
      <c r="E38">
        <v>2024</v>
      </c>
      <c r="F38">
        <v>6</v>
      </c>
      <c r="G38">
        <v>3</v>
      </c>
      <c r="H38">
        <v>23</v>
      </c>
      <c r="I38" s="3">
        <v>1</v>
      </c>
      <c r="J38" t="s">
        <v>54</v>
      </c>
      <c r="K38" t="s">
        <v>55</v>
      </c>
      <c r="L38" t="s">
        <v>17</v>
      </c>
      <c r="M38" t="s">
        <v>128</v>
      </c>
      <c r="N38" s="3">
        <v>99.83</v>
      </c>
      <c r="O38" s="3">
        <v>110</v>
      </c>
      <c r="P38" s="3">
        <f>ApprovedTimeReport_002_202465[[#This Row],[CostRate w/ Taxes]]*ApprovedTimeReport_002_202465[[#This Row],[Time Actual]]</f>
        <v>110</v>
      </c>
      <c r="Q38" t="s">
        <v>26</v>
      </c>
      <c r="R38" s="2" t="str">
        <f>VLOOKUP(ApprovedTimeReport_002_202465[[#This Row],[FunnelID]],Vlookup!A:B,2,0)</f>
        <v>NB</v>
      </c>
    </row>
    <row r="39" spans="1:18" x14ac:dyDescent="0.3">
      <c r="A39" t="s">
        <v>42</v>
      </c>
      <c r="B39" s="1">
        <v>45469</v>
      </c>
      <c r="C39" s="1">
        <v>45473</v>
      </c>
      <c r="D39" t="s">
        <v>16</v>
      </c>
      <c r="E39">
        <v>2024</v>
      </c>
      <c r="F39">
        <v>6</v>
      </c>
      <c r="G39">
        <v>26</v>
      </c>
      <c r="H39">
        <v>26</v>
      </c>
      <c r="I39" s="3">
        <v>1</v>
      </c>
      <c r="J39" t="s">
        <v>54</v>
      </c>
      <c r="K39" t="s">
        <v>55</v>
      </c>
      <c r="L39" t="s">
        <v>17</v>
      </c>
      <c r="M39" t="s">
        <v>72</v>
      </c>
      <c r="N39" s="3">
        <v>99.83</v>
      </c>
      <c r="O39" s="3">
        <v>110</v>
      </c>
      <c r="P39" s="3">
        <f>ApprovedTimeReport_002_202465[[#This Row],[CostRate w/ Taxes]]*ApprovedTimeReport_002_202465[[#This Row],[Time Actual]]</f>
        <v>110</v>
      </c>
      <c r="Q39" t="s">
        <v>26</v>
      </c>
      <c r="R39" s="2" t="str">
        <f>VLOOKUP(ApprovedTimeReport_002_202465[[#This Row],[FunnelID]],Vlookup!A:B,2,0)</f>
        <v>NB</v>
      </c>
    </row>
    <row r="40" spans="1:18" x14ac:dyDescent="0.3">
      <c r="A40" t="s">
        <v>42</v>
      </c>
      <c r="B40" s="1">
        <v>45460</v>
      </c>
      <c r="C40" s="1">
        <v>45473</v>
      </c>
      <c r="D40" t="s">
        <v>16</v>
      </c>
      <c r="E40">
        <v>2024</v>
      </c>
      <c r="F40">
        <v>6</v>
      </c>
      <c r="G40">
        <v>17</v>
      </c>
      <c r="H40">
        <v>25</v>
      </c>
      <c r="I40" s="3">
        <v>1</v>
      </c>
      <c r="J40" t="s">
        <v>54</v>
      </c>
      <c r="K40" t="s">
        <v>55</v>
      </c>
      <c r="L40" t="s">
        <v>17</v>
      </c>
      <c r="M40" t="s">
        <v>96</v>
      </c>
      <c r="N40" s="3">
        <v>99.83</v>
      </c>
      <c r="O40" s="3">
        <v>110</v>
      </c>
      <c r="P40" s="3">
        <f>ApprovedTimeReport_002_202465[[#This Row],[CostRate w/ Taxes]]*ApprovedTimeReport_002_202465[[#This Row],[Time Actual]]</f>
        <v>110</v>
      </c>
      <c r="Q40" t="s">
        <v>26</v>
      </c>
      <c r="R40" s="2" t="str">
        <f>VLOOKUP(ApprovedTimeReport_002_202465[[#This Row],[FunnelID]],Vlookup!A:B,2,0)</f>
        <v>NB</v>
      </c>
    </row>
    <row r="41" spans="1:18" x14ac:dyDescent="0.3">
      <c r="A41" t="s">
        <v>42</v>
      </c>
      <c r="B41" s="1">
        <v>45456</v>
      </c>
      <c r="C41" s="1">
        <v>45474</v>
      </c>
      <c r="D41" t="s">
        <v>16</v>
      </c>
      <c r="E41">
        <v>2024</v>
      </c>
      <c r="F41">
        <v>6</v>
      </c>
      <c r="G41">
        <v>13</v>
      </c>
      <c r="H41">
        <v>24</v>
      </c>
      <c r="I41" s="3">
        <v>2</v>
      </c>
      <c r="J41" t="s">
        <v>54</v>
      </c>
      <c r="K41" t="s">
        <v>55</v>
      </c>
      <c r="L41" t="s">
        <v>17</v>
      </c>
      <c r="M41" t="s">
        <v>105</v>
      </c>
      <c r="N41" s="3">
        <v>99.83</v>
      </c>
      <c r="O41" s="3">
        <v>110</v>
      </c>
      <c r="P41" s="3">
        <f>ApprovedTimeReport_002_202465[[#This Row],[CostRate w/ Taxes]]*ApprovedTimeReport_002_202465[[#This Row],[Time Actual]]</f>
        <v>220</v>
      </c>
      <c r="Q41" t="s">
        <v>26</v>
      </c>
      <c r="R41" s="2" t="str">
        <f>VLOOKUP(ApprovedTimeReport_002_202465[[#This Row],[FunnelID]],Vlookup!A:B,2,0)</f>
        <v>NB</v>
      </c>
    </row>
    <row r="42" spans="1:18" x14ac:dyDescent="0.3">
      <c r="A42" t="s">
        <v>42</v>
      </c>
      <c r="B42" s="1">
        <v>45454</v>
      </c>
      <c r="C42" s="1">
        <v>45473</v>
      </c>
      <c r="D42" t="s">
        <v>16</v>
      </c>
      <c r="E42">
        <v>2024</v>
      </c>
      <c r="F42">
        <v>6</v>
      </c>
      <c r="G42">
        <v>11</v>
      </c>
      <c r="H42">
        <v>24</v>
      </c>
      <c r="I42" s="3">
        <v>2</v>
      </c>
      <c r="J42" t="s">
        <v>54</v>
      </c>
      <c r="K42" t="s">
        <v>55</v>
      </c>
      <c r="L42" t="s">
        <v>17</v>
      </c>
      <c r="M42" t="s">
        <v>110</v>
      </c>
      <c r="N42" s="3">
        <v>99.83</v>
      </c>
      <c r="O42" s="3">
        <v>110</v>
      </c>
      <c r="P42" s="3">
        <f>ApprovedTimeReport_002_202465[[#This Row],[CostRate w/ Taxes]]*ApprovedTimeReport_002_202465[[#This Row],[Time Actual]]</f>
        <v>220</v>
      </c>
      <c r="Q42" t="s">
        <v>26</v>
      </c>
      <c r="R42" s="2" t="str">
        <f>VLOOKUP(ApprovedTimeReport_002_202465[[#This Row],[FunnelID]],Vlookup!A:B,2,0)</f>
        <v>NB</v>
      </c>
    </row>
    <row r="43" spans="1:18" x14ac:dyDescent="0.3">
      <c r="A43" t="s">
        <v>42</v>
      </c>
      <c r="B43" s="1">
        <v>45449</v>
      </c>
      <c r="C43" s="1">
        <v>45473</v>
      </c>
      <c r="D43" t="s">
        <v>16</v>
      </c>
      <c r="E43">
        <v>2024</v>
      </c>
      <c r="F43">
        <v>6</v>
      </c>
      <c r="G43">
        <v>6</v>
      </c>
      <c r="H43">
        <v>23</v>
      </c>
      <c r="I43" s="3">
        <v>1</v>
      </c>
      <c r="J43" t="s">
        <v>54</v>
      </c>
      <c r="K43" t="s">
        <v>55</v>
      </c>
      <c r="L43" t="s">
        <v>17</v>
      </c>
      <c r="M43" t="s">
        <v>120</v>
      </c>
      <c r="N43" s="3">
        <v>99.83</v>
      </c>
      <c r="O43" s="3">
        <v>110</v>
      </c>
      <c r="P43" s="3">
        <f>ApprovedTimeReport_002_202465[[#This Row],[CostRate w/ Taxes]]*ApprovedTimeReport_002_202465[[#This Row],[Time Actual]]</f>
        <v>110</v>
      </c>
      <c r="Q43" t="s">
        <v>26</v>
      </c>
      <c r="R43" s="2" t="str">
        <f>VLOOKUP(ApprovedTimeReport_002_202465[[#This Row],[FunnelID]],Vlookup!A:B,2,0)</f>
        <v>NB</v>
      </c>
    </row>
    <row r="44" spans="1:18" x14ac:dyDescent="0.3">
      <c r="A44" t="s">
        <v>81</v>
      </c>
      <c r="B44" s="1">
        <v>45463</v>
      </c>
      <c r="C44" s="1">
        <v>45474</v>
      </c>
      <c r="D44" t="s">
        <v>16</v>
      </c>
      <c r="E44">
        <v>2024</v>
      </c>
      <c r="F44">
        <v>6</v>
      </c>
      <c r="G44">
        <v>20</v>
      </c>
      <c r="H44">
        <v>25</v>
      </c>
      <c r="I44" s="3">
        <v>4</v>
      </c>
      <c r="J44" t="s">
        <v>54</v>
      </c>
      <c r="K44" t="s">
        <v>55</v>
      </c>
      <c r="L44" t="s">
        <v>17</v>
      </c>
      <c r="M44" t="s">
        <v>82</v>
      </c>
      <c r="N44" s="3">
        <v>157</v>
      </c>
      <c r="O44" s="3">
        <f>ApprovedTimeReport_002_202465[[#This Row],[CostRate]]/0.9075</f>
        <v>173.00275482093664</v>
      </c>
      <c r="P44" s="3">
        <f>ApprovedTimeReport_002_202465[[#This Row],[CostRate w/ Taxes]]*ApprovedTimeReport_002_202465[[#This Row],[Time Actual]]</f>
        <v>692.01101928374658</v>
      </c>
      <c r="Q44" t="s">
        <v>26</v>
      </c>
      <c r="R44" s="2" t="str">
        <f>VLOOKUP(ApprovedTimeReport_002_202465[[#This Row],[FunnelID]],Vlookup!A:B,2,0)</f>
        <v>NB</v>
      </c>
    </row>
    <row r="45" spans="1:18" x14ac:dyDescent="0.3">
      <c r="A45" t="s">
        <v>81</v>
      </c>
      <c r="B45" s="1">
        <v>45454</v>
      </c>
      <c r="C45" s="1">
        <v>45474</v>
      </c>
      <c r="D45" t="s">
        <v>16</v>
      </c>
      <c r="E45">
        <v>2024</v>
      </c>
      <c r="F45">
        <v>6</v>
      </c>
      <c r="G45">
        <v>11</v>
      </c>
      <c r="H45">
        <v>24</v>
      </c>
      <c r="I45" s="3">
        <v>2</v>
      </c>
      <c r="J45" t="s">
        <v>54</v>
      </c>
      <c r="K45" t="s">
        <v>55</v>
      </c>
      <c r="L45" t="s">
        <v>17</v>
      </c>
      <c r="M45" t="s">
        <v>113</v>
      </c>
      <c r="N45" s="3">
        <v>157</v>
      </c>
      <c r="O45" s="3">
        <f>ApprovedTimeReport_002_202465[[#This Row],[CostRate]]/0.9075</f>
        <v>173.00275482093664</v>
      </c>
      <c r="P45" s="3">
        <f>ApprovedTimeReport_002_202465[[#This Row],[CostRate w/ Taxes]]*ApprovedTimeReport_002_202465[[#This Row],[Time Actual]]</f>
        <v>346.00550964187329</v>
      </c>
      <c r="Q45" t="s">
        <v>26</v>
      </c>
      <c r="R45" s="2" t="str">
        <f>VLOOKUP(ApprovedTimeReport_002_202465[[#This Row],[FunnelID]],Vlookup!A:B,2,0)</f>
        <v>NB</v>
      </c>
    </row>
    <row r="46" spans="1:18" x14ac:dyDescent="0.3">
      <c r="A46" t="s">
        <v>50</v>
      </c>
      <c r="B46" s="1">
        <v>45447</v>
      </c>
      <c r="C46" s="1">
        <v>45473</v>
      </c>
      <c r="D46" t="s">
        <v>16</v>
      </c>
      <c r="E46">
        <v>2024</v>
      </c>
      <c r="F46">
        <v>6</v>
      </c>
      <c r="G46">
        <v>4</v>
      </c>
      <c r="H46">
        <v>23</v>
      </c>
      <c r="I46" s="3">
        <v>2</v>
      </c>
      <c r="J46" t="s">
        <v>54</v>
      </c>
      <c r="K46" t="s">
        <v>55</v>
      </c>
      <c r="L46" t="s">
        <v>39</v>
      </c>
      <c r="M46" t="s">
        <v>125</v>
      </c>
      <c r="N46" s="3">
        <v>86.43</v>
      </c>
      <c r="O46" s="3">
        <f>ApprovedTimeReport_002_202465[[#This Row],[CostRate]]/0.9075</f>
        <v>95.239669421487619</v>
      </c>
      <c r="P46" s="3">
        <f>ApprovedTimeReport_002_202465[[#This Row],[CostRate w/ Taxes]]*ApprovedTimeReport_002_202465[[#This Row],[Time Actual]]</f>
        <v>190.47933884297524</v>
      </c>
      <c r="Q46" t="s">
        <v>26</v>
      </c>
      <c r="R46" s="2" t="str">
        <f>VLOOKUP(ApprovedTimeReport_002_202465[[#This Row],[FunnelID]],Vlookup!A:B,2,0)</f>
        <v>NB</v>
      </c>
    </row>
    <row r="47" spans="1:18" x14ac:dyDescent="0.3">
      <c r="A47" t="s">
        <v>50</v>
      </c>
      <c r="B47" s="1">
        <v>45446</v>
      </c>
      <c r="C47" s="1">
        <v>45473</v>
      </c>
      <c r="D47" t="s">
        <v>16</v>
      </c>
      <c r="E47">
        <v>2024</v>
      </c>
      <c r="F47">
        <v>6</v>
      </c>
      <c r="G47">
        <v>3</v>
      </c>
      <c r="H47">
        <v>23</v>
      </c>
      <c r="I47" s="3">
        <v>2</v>
      </c>
      <c r="J47" t="s">
        <v>54</v>
      </c>
      <c r="K47" t="s">
        <v>55</v>
      </c>
      <c r="L47" t="s">
        <v>39</v>
      </c>
      <c r="M47" t="s">
        <v>127</v>
      </c>
      <c r="N47" s="3">
        <v>86.43</v>
      </c>
      <c r="O47" s="3">
        <f>ApprovedTimeReport_002_202465[[#This Row],[CostRate]]/0.9075</f>
        <v>95.239669421487619</v>
      </c>
      <c r="P47" s="3">
        <f>ApprovedTimeReport_002_202465[[#This Row],[CostRate w/ Taxes]]*ApprovedTimeReport_002_202465[[#This Row],[Time Actual]]</f>
        <v>190.47933884297524</v>
      </c>
      <c r="Q47" t="s">
        <v>26</v>
      </c>
      <c r="R47" s="2" t="str">
        <f>VLOOKUP(ApprovedTimeReport_002_202465[[#This Row],[FunnelID]],Vlookup!A:B,2,0)</f>
        <v>NB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AE63-20E0-424A-A117-98B6E02A5D8D}">
  <dimension ref="A1:B83"/>
  <sheetViews>
    <sheetView workbookViewId="0">
      <selection activeCell="B84" sqref="B84"/>
    </sheetView>
  </sheetViews>
  <sheetFormatPr defaultRowHeight="15.05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0</v>
      </c>
      <c r="B1" t="s">
        <v>133</v>
      </c>
    </row>
    <row r="2" spans="1:2" x14ac:dyDescent="0.3">
      <c r="A2" t="s">
        <v>93</v>
      </c>
      <c r="B2" t="s">
        <v>139</v>
      </c>
    </row>
    <row r="3" spans="1:2" x14ac:dyDescent="0.3">
      <c r="A3" t="s">
        <v>31</v>
      </c>
      <c r="B3" t="s">
        <v>139</v>
      </c>
    </row>
    <row r="4" spans="1:2" x14ac:dyDescent="0.3">
      <c r="A4" t="s">
        <v>137</v>
      </c>
      <c r="B4" t="s">
        <v>139</v>
      </c>
    </row>
    <row r="5" spans="1:2" x14ac:dyDescent="0.3">
      <c r="A5" t="s">
        <v>138</v>
      </c>
      <c r="B5" t="s">
        <v>139</v>
      </c>
    </row>
    <row r="6" spans="1:2" x14ac:dyDescent="0.3">
      <c r="A6" t="s">
        <v>135</v>
      </c>
      <c r="B6" t="s">
        <v>153</v>
      </c>
    </row>
    <row r="7" spans="1:2" x14ac:dyDescent="0.3">
      <c r="A7" t="s">
        <v>140</v>
      </c>
      <c r="B7" t="s">
        <v>139</v>
      </c>
    </row>
    <row r="8" spans="1:2" x14ac:dyDescent="0.3">
      <c r="A8" t="s">
        <v>94</v>
      </c>
      <c r="B8" t="s">
        <v>139</v>
      </c>
    </row>
    <row r="9" spans="1:2" x14ac:dyDescent="0.3">
      <c r="A9" t="s">
        <v>44</v>
      </c>
      <c r="B9" t="s">
        <v>139</v>
      </c>
    </row>
    <row r="10" spans="1:2" x14ac:dyDescent="0.3">
      <c r="A10" t="s">
        <v>49</v>
      </c>
      <c r="B10" t="s">
        <v>142</v>
      </c>
    </row>
    <row r="11" spans="1:2" x14ac:dyDescent="0.3">
      <c r="A11" t="s">
        <v>115</v>
      </c>
      <c r="B11" t="s">
        <v>142</v>
      </c>
    </row>
    <row r="12" spans="1:2" x14ac:dyDescent="0.3">
      <c r="A12" t="s">
        <v>35</v>
      </c>
      <c r="B12" t="s">
        <v>142</v>
      </c>
    </row>
    <row r="13" spans="1:2" x14ac:dyDescent="0.3">
      <c r="A13" t="s">
        <v>141</v>
      </c>
      <c r="B13" t="s">
        <v>139</v>
      </c>
    </row>
    <row r="14" spans="1:2" x14ac:dyDescent="0.3">
      <c r="A14" t="s">
        <v>66</v>
      </c>
      <c r="B14" t="s">
        <v>139</v>
      </c>
    </row>
    <row r="15" spans="1:2" x14ac:dyDescent="0.3">
      <c r="A15" t="s">
        <v>69</v>
      </c>
      <c r="B15" t="s">
        <v>139</v>
      </c>
    </row>
    <row r="16" spans="1:2" x14ac:dyDescent="0.3">
      <c r="A16" t="s">
        <v>29</v>
      </c>
      <c r="B16" t="s">
        <v>142</v>
      </c>
    </row>
    <row r="17" spans="1:2" x14ac:dyDescent="0.3">
      <c r="A17" t="s">
        <v>43</v>
      </c>
      <c r="B17" t="s">
        <v>139</v>
      </c>
    </row>
    <row r="18" spans="1:2" x14ac:dyDescent="0.3">
      <c r="A18" t="s">
        <v>59</v>
      </c>
      <c r="B18" t="s">
        <v>139</v>
      </c>
    </row>
    <row r="19" spans="1:2" x14ac:dyDescent="0.3">
      <c r="A19" t="s">
        <v>36</v>
      </c>
      <c r="B19" t="s">
        <v>139</v>
      </c>
    </row>
    <row r="20" spans="1:2" x14ac:dyDescent="0.3">
      <c r="A20" t="s">
        <v>51</v>
      </c>
      <c r="B20" t="s">
        <v>142</v>
      </c>
    </row>
    <row r="21" spans="1:2" x14ac:dyDescent="0.3">
      <c r="A21" t="s">
        <v>143</v>
      </c>
      <c r="B21" t="s">
        <v>139</v>
      </c>
    </row>
    <row r="22" spans="1:2" x14ac:dyDescent="0.3">
      <c r="A22" t="s">
        <v>27</v>
      </c>
      <c r="B22" t="s">
        <v>142</v>
      </c>
    </row>
    <row r="23" spans="1:2" x14ac:dyDescent="0.3">
      <c r="A23" t="s">
        <v>144</v>
      </c>
      <c r="B23" t="s">
        <v>142</v>
      </c>
    </row>
    <row r="24" spans="1:2" x14ac:dyDescent="0.3">
      <c r="A24" t="s">
        <v>145</v>
      </c>
      <c r="B24" t="s">
        <v>142</v>
      </c>
    </row>
    <row r="25" spans="1:2" x14ac:dyDescent="0.3">
      <c r="A25" t="s">
        <v>146</v>
      </c>
      <c r="B25" t="s">
        <v>139</v>
      </c>
    </row>
    <row r="26" spans="1:2" x14ac:dyDescent="0.3">
      <c r="A26" t="s">
        <v>147</v>
      </c>
      <c r="B26" t="s">
        <v>142</v>
      </c>
    </row>
    <row r="27" spans="1:2" x14ac:dyDescent="0.3">
      <c r="A27" t="s">
        <v>40</v>
      </c>
      <c r="B27" t="s">
        <v>139</v>
      </c>
    </row>
    <row r="28" spans="1:2" x14ac:dyDescent="0.3">
      <c r="A28" t="s">
        <v>61</v>
      </c>
      <c r="B28" t="s">
        <v>142</v>
      </c>
    </row>
    <row r="29" spans="1:2" x14ac:dyDescent="0.3">
      <c r="A29" t="s">
        <v>33</v>
      </c>
      <c r="B29" t="s">
        <v>142</v>
      </c>
    </row>
    <row r="30" spans="1:2" x14ac:dyDescent="0.3">
      <c r="A30" t="s">
        <v>148</v>
      </c>
      <c r="B30" t="s">
        <v>139</v>
      </c>
    </row>
    <row r="31" spans="1:2" x14ac:dyDescent="0.3">
      <c r="A31" t="s">
        <v>149</v>
      </c>
      <c r="B31" t="s">
        <v>142</v>
      </c>
    </row>
    <row r="32" spans="1:2" x14ac:dyDescent="0.3">
      <c r="A32" t="s">
        <v>150</v>
      </c>
      <c r="B32" t="s">
        <v>142</v>
      </c>
    </row>
    <row r="33" spans="1:2" x14ac:dyDescent="0.3">
      <c r="A33" t="s">
        <v>151</v>
      </c>
      <c r="B33" t="s">
        <v>142</v>
      </c>
    </row>
    <row r="34" spans="1:2" x14ac:dyDescent="0.3">
      <c r="A34" t="s">
        <v>38</v>
      </c>
      <c r="B34" t="s">
        <v>139</v>
      </c>
    </row>
    <row r="35" spans="1:2" x14ac:dyDescent="0.3">
      <c r="A35" t="s">
        <v>152</v>
      </c>
      <c r="B35" t="s">
        <v>142</v>
      </c>
    </row>
    <row r="36" spans="1:2" x14ac:dyDescent="0.3">
      <c r="A36" t="s">
        <v>23</v>
      </c>
      <c r="B36" t="s">
        <v>142</v>
      </c>
    </row>
    <row r="37" spans="1:2" x14ac:dyDescent="0.3">
      <c r="A37" t="s">
        <v>47</v>
      </c>
      <c r="B37" t="s">
        <v>153</v>
      </c>
    </row>
    <row r="38" spans="1:2" x14ac:dyDescent="0.3">
      <c r="A38" t="s">
        <v>77</v>
      </c>
      <c r="B38" t="s">
        <v>153</v>
      </c>
    </row>
    <row r="39" spans="1:2" x14ac:dyDescent="0.3">
      <c r="A39" t="s">
        <v>48</v>
      </c>
      <c r="B39" t="s">
        <v>153</v>
      </c>
    </row>
    <row r="40" spans="1:2" x14ac:dyDescent="0.3">
      <c r="A40" t="s">
        <v>99</v>
      </c>
      <c r="B40" t="s">
        <v>153</v>
      </c>
    </row>
    <row r="41" spans="1:2" x14ac:dyDescent="0.3">
      <c r="A41" t="s">
        <v>89</v>
      </c>
      <c r="B41" t="s">
        <v>153</v>
      </c>
    </row>
    <row r="42" spans="1:2" x14ac:dyDescent="0.3">
      <c r="A42" t="s">
        <v>154</v>
      </c>
      <c r="B42" t="s">
        <v>153</v>
      </c>
    </row>
    <row r="43" spans="1:2" x14ac:dyDescent="0.3">
      <c r="A43" t="s">
        <v>32</v>
      </c>
      <c r="B43" t="s">
        <v>153</v>
      </c>
    </row>
    <row r="44" spans="1:2" x14ac:dyDescent="0.3">
      <c r="A44" t="s">
        <v>111</v>
      </c>
      <c r="B44" t="s">
        <v>153</v>
      </c>
    </row>
    <row r="45" spans="1:2" x14ac:dyDescent="0.3">
      <c r="A45" t="s">
        <v>41</v>
      </c>
      <c r="B45" t="s">
        <v>153</v>
      </c>
    </row>
    <row r="46" spans="1:2" x14ac:dyDescent="0.3">
      <c r="A46" t="s">
        <v>50</v>
      </c>
      <c r="B46" t="s">
        <v>153</v>
      </c>
    </row>
    <row r="47" spans="1:2" x14ac:dyDescent="0.3">
      <c r="A47" t="s">
        <v>67</v>
      </c>
      <c r="B47" t="s">
        <v>153</v>
      </c>
    </row>
    <row r="48" spans="1:2" x14ac:dyDescent="0.3">
      <c r="A48" t="s">
        <v>78</v>
      </c>
      <c r="B48" t="s">
        <v>153</v>
      </c>
    </row>
    <row r="49" spans="1:2" x14ac:dyDescent="0.3">
      <c r="A49" t="s">
        <v>28</v>
      </c>
      <c r="B49" t="s">
        <v>153</v>
      </c>
    </row>
    <row r="50" spans="1:2" x14ac:dyDescent="0.3">
      <c r="A50" t="s">
        <v>68</v>
      </c>
      <c r="B50" t="s">
        <v>153</v>
      </c>
    </row>
    <row r="51" spans="1:2" x14ac:dyDescent="0.3">
      <c r="A51" t="s">
        <v>25</v>
      </c>
      <c r="B51" t="s">
        <v>153</v>
      </c>
    </row>
    <row r="52" spans="1:2" x14ac:dyDescent="0.3">
      <c r="A52" t="s">
        <v>75</v>
      </c>
      <c r="B52" t="s">
        <v>139</v>
      </c>
    </row>
    <row r="53" spans="1:2" x14ac:dyDescent="0.3">
      <c r="A53" t="s">
        <v>15</v>
      </c>
      <c r="B53" t="s">
        <v>142</v>
      </c>
    </row>
    <row r="54" spans="1:2" x14ac:dyDescent="0.3">
      <c r="A54" t="s">
        <v>155</v>
      </c>
      <c r="B54" t="s">
        <v>139</v>
      </c>
    </row>
    <row r="55" spans="1:2" x14ac:dyDescent="0.3">
      <c r="A55" t="s">
        <v>156</v>
      </c>
      <c r="B55" t="s">
        <v>142</v>
      </c>
    </row>
    <row r="56" spans="1:2" x14ac:dyDescent="0.3">
      <c r="A56" t="s">
        <v>114</v>
      </c>
      <c r="B56" t="s">
        <v>139</v>
      </c>
    </row>
    <row r="57" spans="1:2" x14ac:dyDescent="0.3">
      <c r="A57" t="s">
        <v>34</v>
      </c>
      <c r="B57" t="s">
        <v>142</v>
      </c>
    </row>
    <row r="58" spans="1:2" x14ac:dyDescent="0.3">
      <c r="A58" t="s">
        <v>62</v>
      </c>
      <c r="B58" t="s">
        <v>142</v>
      </c>
    </row>
    <row r="59" spans="1:2" x14ac:dyDescent="0.3">
      <c r="A59" t="s">
        <v>157</v>
      </c>
      <c r="B59" t="s">
        <v>142</v>
      </c>
    </row>
    <row r="60" spans="1:2" x14ac:dyDescent="0.3">
      <c r="A60" t="s">
        <v>158</v>
      </c>
      <c r="B60" t="s">
        <v>142</v>
      </c>
    </row>
    <row r="61" spans="1:2" x14ac:dyDescent="0.3">
      <c r="A61" t="s">
        <v>159</v>
      </c>
      <c r="B61" t="s">
        <v>142</v>
      </c>
    </row>
    <row r="62" spans="1:2" x14ac:dyDescent="0.3">
      <c r="A62" t="s">
        <v>160</v>
      </c>
      <c r="B62" t="s">
        <v>153</v>
      </c>
    </row>
    <row r="63" spans="1:2" x14ac:dyDescent="0.3">
      <c r="A63" t="s">
        <v>57</v>
      </c>
      <c r="B63" t="s">
        <v>153</v>
      </c>
    </row>
    <row r="64" spans="1:2" x14ac:dyDescent="0.3">
      <c r="A64" t="s">
        <v>42</v>
      </c>
      <c r="B64" t="s">
        <v>153</v>
      </c>
    </row>
    <row r="65" spans="1:2" x14ac:dyDescent="0.3">
      <c r="A65" t="s">
        <v>81</v>
      </c>
      <c r="B65" t="s">
        <v>153</v>
      </c>
    </row>
    <row r="66" spans="1:2" x14ac:dyDescent="0.3">
      <c r="A66" t="s">
        <v>103</v>
      </c>
      <c r="B66" t="s">
        <v>153</v>
      </c>
    </row>
    <row r="67" spans="1:2" x14ac:dyDescent="0.3">
      <c r="A67" t="s">
        <v>136</v>
      </c>
      <c r="B67" t="s">
        <v>142</v>
      </c>
    </row>
    <row r="68" spans="1:2" x14ac:dyDescent="0.3">
      <c r="A68" t="s">
        <v>20</v>
      </c>
      <c r="B68" t="s">
        <v>142</v>
      </c>
    </row>
    <row r="69" spans="1:2" x14ac:dyDescent="0.3">
      <c r="A69" t="s">
        <v>18</v>
      </c>
      <c r="B69" t="s">
        <v>139</v>
      </c>
    </row>
    <row r="70" spans="1:2" x14ac:dyDescent="0.3">
      <c r="A70" t="s">
        <v>161</v>
      </c>
      <c r="B70" t="s">
        <v>139</v>
      </c>
    </row>
    <row r="71" spans="1:2" x14ac:dyDescent="0.3">
      <c r="A71" t="s">
        <v>87</v>
      </c>
      <c r="B71" t="s">
        <v>142</v>
      </c>
    </row>
    <row r="72" spans="1:2" x14ac:dyDescent="0.3">
      <c r="A72" t="s">
        <v>109</v>
      </c>
      <c r="B72" t="s">
        <v>142</v>
      </c>
    </row>
    <row r="73" spans="1:2" x14ac:dyDescent="0.3">
      <c r="A73" t="s">
        <v>162</v>
      </c>
      <c r="B73" t="s">
        <v>142</v>
      </c>
    </row>
    <row r="74" spans="1:2" x14ac:dyDescent="0.3">
      <c r="A74" t="s">
        <v>92</v>
      </c>
      <c r="B74" t="s">
        <v>142</v>
      </c>
    </row>
    <row r="75" spans="1:2" x14ac:dyDescent="0.3">
      <c r="A75" t="s">
        <v>22</v>
      </c>
      <c r="B75" t="s">
        <v>142</v>
      </c>
    </row>
    <row r="76" spans="1:2" x14ac:dyDescent="0.3">
      <c r="A76" t="s">
        <v>101</v>
      </c>
      <c r="B76" t="s">
        <v>142</v>
      </c>
    </row>
    <row r="77" spans="1:2" x14ac:dyDescent="0.3">
      <c r="A77" t="s">
        <v>64</v>
      </c>
      <c r="B77" t="s">
        <v>153</v>
      </c>
    </row>
    <row r="78" spans="1:2" x14ac:dyDescent="0.3">
      <c r="A78" t="s">
        <v>21</v>
      </c>
      <c r="B78" t="s">
        <v>139</v>
      </c>
    </row>
    <row r="79" spans="1:2" x14ac:dyDescent="0.3">
      <c r="A79" t="s">
        <v>24</v>
      </c>
      <c r="B79" t="s">
        <v>142</v>
      </c>
    </row>
    <row r="80" spans="1:2" x14ac:dyDescent="0.3">
      <c r="A80" t="s">
        <v>80</v>
      </c>
      <c r="B80" t="s">
        <v>142</v>
      </c>
    </row>
    <row r="81" spans="1:2" x14ac:dyDescent="0.3">
      <c r="A81" t="s">
        <v>97</v>
      </c>
      <c r="B81" t="s">
        <v>139</v>
      </c>
    </row>
    <row r="82" spans="1:2" x14ac:dyDescent="0.3">
      <c r="A82" t="s">
        <v>52</v>
      </c>
      <c r="B82" t="s">
        <v>139</v>
      </c>
    </row>
    <row r="83" spans="1:2" x14ac:dyDescent="0.3">
      <c r="A83" t="s">
        <v>118</v>
      </c>
      <c r="B83" t="s">
        <v>142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B2AE5-E6F9-4FD2-AACF-91F2E2DEE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Junho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2024-07-05T11:55:24Z</dcterms:created>
  <dcterms:modified xsi:type="dcterms:W3CDTF">2024-07-05T18:58:55Z</dcterms:modified>
</cp:coreProperties>
</file>