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G:\Meu Drive\Area de trabalho\OCs - Fornecedores\24-Novembro\"/>
    </mc:Choice>
  </mc:AlternateContent>
  <xr:revisionPtr revIDLastSave="0" documentId="8_{4A0978D4-13B4-4439-8933-0158D769EAD9}" xr6:coauthVersionLast="47" xr6:coauthVersionMax="47" xr10:uidLastSave="{00000000-0000-0000-0000-000000000000}"/>
  <bookViews>
    <workbookView xWindow="28680" yWindow="2715" windowWidth="20730" windowHeight="11040" xr2:uid="{0E825392-2560-49CF-9752-AB008469363C}"/>
  </bookViews>
  <sheets>
    <sheet name="Summary" sheetId="13" r:id="rId1"/>
    <sheet name="Novembro 2024" sheetId="11" r:id="rId2"/>
    <sheet name="Vlookup" sheetId="12" state="hidden" r:id="rId3"/>
  </sheets>
  <definedNames>
    <definedName name="DadosExternos_2" localSheetId="1" hidden="1">'Novembro 2024'!$A$1:$R$32</definedName>
  </definedNames>
  <calcPr calcId="191029"/>
  <pivotCaches>
    <pivotCache cacheId="20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2" i="11" l="1"/>
  <c r="P32" i="11" s="1"/>
  <c r="R32" i="11"/>
  <c r="P27" i="11"/>
  <c r="R27" i="11"/>
  <c r="P28" i="11"/>
  <c r="R28" i="11"/>
  <c r="P29" i="11"/>
  <c r="R29" i="11"/>
  <c r="P30" i="11"/>
  <c r="R30" i="11"/>
  <c r="P31" i="11"/>
  <c r="R31" i="11"/>
  <c r="P8" i="11"/>
  <c r="R8" i="11"/>
  <c r="P9" i="11"/>
  <c r="R9" i="11"/>
  <c r="P10" i="11"/>
  <c r="R10" i="11"/>
  <c r="P11" i="11"/>
  <c r="R11" i="11"/>
  <c r="P12" i="11"/>
  <c r="R12" i="11"/>
  <c r="P13" i="11"/>
  <c r="R13" i="11"/>
  <c r="P14" i="11"/>
  <c r="R14" i="11"/>
  <c r="P15" i="11"/>
  <c r="R15" i="11"/>
  <c r="P16" i="11"/>
  <c r="R16" i="11"/>
  <c r="P17" i="11"/>
  <c r="R17" i="11"/>
  <c r="O18" i="11"/>
  <c r="P18" i="11"/>
  <c r="R18" i="11"/>
  <c r="O19" i="11"/>
  <c r="P19" i="11"/>
  <c r="R19" i="11"/>
  <c r="O20" i="11"/>
  <c r="P20" i="11"/>
  <c r="R20" i="11"/>
  <c r="P21" i="11"/>
  <c r="R21" i="11"/>
  <c r="P22" i="11"/>
  <c r="R22" i="11"/>
  <c r="P23" i="11"/>
  <c r="R23" i="11"/>
  <c r="P24" i="11"/>
  <c r="R24" i="11"/>
  <c r="P25" i="11"/>
  <c r="R25" i="11"/>
  <c r="P26" i="11"/>
  <c r="R26" i="11"/>
  <c r="O7" i="11"/>
  <c r="P7" i="11"/>
  <c r="R7" i="11"/>
  <c r="O5" i="11"/>
  <c r="P5" i="11" s="1"/>
  <c r="R5" i="11"/>
  <c r="O6" i="11"/>
  <c r="P6" i="11" s="1"/>
  <c r="R6" i="11"/>
  <c r="O2" i="11"/>
  <c r="P2" i="11"/>
  <c r="R2" i="11"/>
  <c r="O3" i="11"/>
  <c r="P3" i="11" s="1"/>
  <c r="R3" i="11"/>
  <c r="O4" i="11"/>
  <c r="P4" i="11" s="1"/>
  <c r="R4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BBDA0B-7371-40D3-B237-6B42A3EDD3DB}" keepAlive="1" name="Consulta - ApprovedTimeReport_000_2024113" description="Conexão com a consulta 'ApprovedTimeReport_000_2024113' na pasta de trabalho." type="5" refreshedVersion="0" background="1">
    <dbPr connection="Provider=Microsoft.Mashup.OleDb.1;Data Source=$Workbook$;Location=ApprovedTimeReport_000_2024113;Extended Properties=&quot;&quot;" command="SELECT * FROM [ApprovedTimeReport_000_2024113]"/>
  </connection>
  <connection id="2" xr16:uid="{B7ED0D4C-32A3-44E1-855F-75ED00F6B654}" keepAlive="1" name="Consulta - ApprovedTimeReport_000_2024115" description="Conexão com a consulta 'ApprovedTimeReport_000_2024115' na pasta de trabalho." type="5" refreshedVersion="0" background="1">
    <dbPr connection="Provider=Microsoft.Mashup.OleDb.1;Data Source=$Workbook$;Location=ApprovedTimeReport_000_2024115;Extended Properties=&quot;&quot;" command="SELECT * FROM [ApprovedTimeReport_000_2024115]"/>
  </connection>
  <connection id="3" xr16:uid="{232FF6C5-13F2-4EFE-93BB-B5D31E43164F}" keepAlive="1" name="Consulta - ApprovedTimeReport_000_2024115 (1)" description="Conexão com a consulta 'ApprovedTimeReport_000_2024115 (1)' na pasta de trabalho." type="5" refreshedVersion="0" background="1">
    <dbPr connection="Provider=Microsoft.Mashup.OleDb.1;Data Source=$Workbook$;Location=&quot;ApprovedTimeReport_000_2024115 (1)&quot;;Extended Properties=&quot;&quot;" command="SELECT * FROM [ApprovedTimeReport_000_2024115 (1)]"/>
  </connection>
  <connection id="4" xr16:uid="{13E3A38C-DAD8-4F98-9949-BACBEBA9D171}" keepAlive="1" name="Consulta - ApprovedTimeReport_000_2024115 (2)" description="Conexão com a consulta 'ApprovedTimeReport_000_2024115 (2)' na pasta de trabalho." type="5" refreshedVersion="0" background="1">
    <dbPr connection="Provider=Microsoft.Mashup.OleDb.1;Data Source=$Workbook$;Location=&quot;ApprovedTimeReport_000_2024115 (2)&quot;;Extended Properties=&quot;&quot;" command="SELECT * FROM [ApprovedTimeReport_000_2024115 (2)]"/>
  </connection>
  <connection id="5" xr16:uid="{97B3458D-4D8F-4A42-9923-D18C13F6AFA2}" keepAlive="1" name="Consulta - ApprovedTimeReport_001_2024115 (1)" description="Conexão com a consulta 'ApprovedTimeReport_001_2024115 (1)' na pasta de trabalho." type="5" refreshedVersion="8" background="1" saveData="1">
    <dbPr connection="Provider=Microsoft.Mashup.OleDb.1;Data Source=$Workbook$;Location=&quot;ApprovedTimeReport_001_2024115 (1)&quot;;Extended Properties=&quot;&quot;" command="SELECT * FROM [ApprovedTimeReport_001_2024115 (1)]"/>
  </connection>
  <connection id="6" xr16:uid="{994FD71B-1EC1-4266-8ABD-6CA431A09C9C}" keepAlive="1" name="Consulta - ApprovedTimeReport_002_2024115" description="Conexão com a consulta 'ApprovedTimeReport_002_2024115' na pasta de trabalho." type="5" refreshedVersion="0" background="1">
    <dbPr connection="Provider=Microsoft.Mashup.OleDb.1;Data Source=$Workbook$;Location=ApprovedTimeReport_002_2024115;Extended Properties=&quot;&quot;" command="SELECT * FROM [ApprovedTimeReport_002_2024115]"/>
  </connection>
  <connection id="7" xr16:uid="{B38E58F3-5FAF-4F27-AAB0-6C12E7F3FF8B}" keepAlive="1" name="Consulta - ApprovedTimeReport_003_2024115" description="Conexão com a consulta 'ApprovedTimeReport_003_2024115' na pasta de trabalho." type="5" refreshedVersion="0" background="1">
    <dbPr connection="Provider=Microsoft.Mashup.OleDb.1;Data Source=$Workbook$;Location=ApprovedTimeReport_003_2024115;Extended Properties=&quot;&quot;" command="SELECT * FROM [ApprovedTimeReport_003_2024115]"/>
  </connection>
  <connection id="8" xr16:uid="{A048EC25-3D12-477D-A628-0201634A1D22}" keepAlive="1" name="Consulta - ApprovedTimeReport_004_2024115" description="Conexão com a consulta 'ApprovedTimeReport_004_2024115' na pasta de trabalho." type="5" refreshedVersion="0" background="1">
    <dbPr connection="Provider=Microsoft.Mashup.OleDb.1;Data Source=$Workbook$;Location=ApprovedTimeReport_004_2024115;Extended Properties=&quot;&quot;" command="SELECT * FROM [ApprovedTimeReport_004_2024115]"/>
  </connection>
  <connection id="9" xr16:uid="{23D29E61-3C6F-4743-935D-549193AFB777}" keepAlive="1" name="Consulta - ApprovedTimeReport_005_2024115" description="Conexão com a consulta 'ApprovedTimeReport_005_2024115' na pasta de trabalho." type="5" refreshedVersion="0" background="1">
    <dbPr connection="Provider=Microsoft.Mashup.OleDb.1;Data Source=$Workbook$;Location=ApprovedTimeReport_005_2024115;Extended Properties=&quot;&quot;" command="SELECT * FROM [ApprovedTimeReport_005_2024115]"/>
  </connection>
</connections>
</file>

<file path=xl/sharedStrings.xml><?xml version="1.0" encoding="utf-8"?>
<sst xmlns="http://schemas.openxmlformats.org/spreadsheetml/2006/main" count="503" uniqueCount="192">
  <si>
    <t>FunnelID</t>
  </si>
  <si>
    <t>Work Date</t>
  </si>
  <si>
    <t>Date TimeSheet</t>
  </si>
  <si>
    <t>CCID</t>
  </si>
  <si>
    <t>Year</t>
  </si>
  <si>
    <t>Month</t>
  </si>
  <si>
    <t>Day</t>
  </si>
  <si>
    <t>Week</t>
  </si>
  <si>
    <t>Time Actual</t>
  </si>
  <si>
    <t>Company</t>
  </si>
  <si>
    <t>Resource Name</t>
  </si>
  <si>
    <t>Role</t>
  </si>
  <si>
    <t>Comments</t>
  </si>
  <si>
    <t>CostRate</t>
  </si>
  <si>
    <t>Customer Name</t>
  </si>
  <si>
    <t>131-VckAut</t>
  </si>
  <si>
    <t>SOW</t>
  </si>
  <si>
    <t>Project Manager</t>
  </si>
  <si>
    <t>151-VckTow</t>
  </si>
  <si>
    <t>2174-VCK448</t>
  </si>
  <si>
    <t>Vockan Consulting Ltda</t>
  </si>
  <si>
    <t>NB01</t>
  </si>
  <si>
    <t>NB-VCC</t>
  </si>
  <si>
    <t>434-VCK448</t>
  </si>
  <si>
    <t>Program Manager</t>
  </si>
  <si>
    <t>NB-Projetos e Consultoria</t>
  </si>
  <si>
    <t>NB-Consultoria-Tec&amp;Dev</t>
  </si>
  <si>
    <t>496-VCK472</t>
  </si>
  <si>
    <t>NBP-PE-PLAN12</t>
  </si>
  <si>
    <t>480-VCK452</t>
  </si>
  <si>
    <t>APTIV Man e Serv de Distr. Ltda</t>
  </si>
  <si>
    <t>A7lAPT28665</t>
  </si>
  <si>
    <t>NBP-PREVENDA</t>
  </si>
  <si>
    <t>458-VCK492</t>
  </si>
  <si>
    <t>SUP-Outros Projetos</t>
  </si>
  <si>
    <t>7958-VCK446</t>
  </si>
  <si>
    <t>7962-VCK448</t>
  </si>
  <si>
    <t>DOSCOBQAD</t>
  </si>
  <si>
    <t>448-VCK494</t>
  </si>
  <si>
    <t>HUF do Brasil Ltda</t>
  </si>
  <si>
    <t>SUP-Apontamento</t>
  </si>
  <si>
    <t>154-vckZF</t>
  </si>
  <si>
    <t>4348-VCK508</t>
  </si>
  <si>
    <t>NBP-PLAN-112</t>
  </si>
  <si>
    <t>370-vck22</t>
  </si>
  <si>
    <t>NB-BPO e PMO</t>
  </si>
  <si>
    <t>952-VCK446</t>
  </si>
  <si>
    <t>Sietech</t>
  </si>
  <si>
    <t>Nelson Simoes</t>
  </si>
  <si>
    <t>Reunião com André para alinhamento de Bitrix, tratamento de cards, reunião com Fabricio sobre viagem, tratativas Autokiniton com cliente, Scrum</t>
  </si>
  <si>
    <t>NBP-WEBUI-LOC</t>
  </si>
  <si>
    <t>NBP-PE-PLAN10</t>
  </si>
  <si>
    <t>4328-VCK1760</t>
  </si>
  <si>
    <t>484-VCK514</t>
  </si>
  <si>
    <t>OXBO DO BRASIL EQUIPAMENTOS</t>
  </si>
  <si>
    <t>872-VCK478</t>
  </si>
  <si>
    <t>002-VCKDSCPQAD</t>
  </si>
  <si>
    <t>SUP-Treinamento</t>
  </si>
  <si>
    <t>Freudenberg Nok Comp Br Ltd</t>
  </si>
  <si>
    <t>436-VCK520</t>
  </si>
  <si>
    <t>876-VCK490</t>
  </si>
  <si>
    <t>968-vck452</t>
  </si>
  <si>
    <t>Acompanhamento JIT</t>
  </si>
  <si>
    <t>4350-VCK514</t>
  </si>
  <si>
    <t>452-VCK476</t>
  </si>
  <si>
    <t>362-VCK528</t>
  </si>
  <si>
    <t>Planejamento de ações pré fechamento anual, sprint de taskforce.</t>
  </si>
  <si>
    <t>Entrevista com novos recursos, scrum, reunião com Clarios, FUP Tiago Semidei</t>
  </si>
  <si>
    <t>SUP-Reuniao</t>
  </si>
  <si>
    <t>NB-Squad_DevTec</t>
  </si>
  <si>
    <t>NB-Treinamento</t>
  </si>
  <si>
    <t>Sprint semanal</t>
  </si>
  <si>
    <t>Reunião com Higo sobre Mario Bertachini, Solides - reunião sobre feedbacks, 1:1 André, Scrum, reunião Visteon</t>
  </si>
  <si>
    <t>NBP-PLAN107</t>
  </si>
  <si>
    <t>USP15072</t>
  </si>
  <si>
    <t>NB-Scrum-Dev</t>
  </si>
  <si>
    <t>Checkpoint Zeis, alinhamento com Guilherme, planejamento de treinamentos, revisão bitrix com André, reunião Progress, reunião sobre Casco, estimativa com Hilmar, scrum</t>
  </si>
  <si>
    <t>472-VCK450</t>
  </si>
  <si>
    <t>2150-VCK494</t>
  </si>
  <si>
    <t>406-VCK498</t>
  </si>
  <si>
    <t>950-VCK862</t>
  </si>
  <si>
    <t>Alinhamento com Fábio e Hilmar, presencial, tratativas Autokiniton e Aptiv, planejamento de sprint 20</t>
  </si>
  <si>
    <t>068-vckcar</t>
  </si>
  <si>
    <t>1:1 Andre, alinhamento com Carla, Adium, Propostas, Alinhamento com sobre vbpo Adium, reunião com Hanon, Reunião de projetos</t>
  </si>
  <si>
    <t>4522-VCK452</t>
  </si>
  <si>
    <t>7950-VCK508</t>
  </si>
  <si>
    <t>sprint semanal, bpo operacional</t>
  </si>
  <si>
    <t>alinhamento zeiss, propostas Adium, capacitação exchange, avaliação - Bruno - com Luis, reunião com Cestari, alinhamento com Benedito</t>
  </si>
  <si>
    <t>alinhamento de demandas aptiv, fup oportunidades no Bitrix, fechamento de sprint 19, 1:1 Fabio, BPO operacional amvac</t>
  </si>
  <si>
    <t>Jit Aptiv, alinhamento, warroom autokiniton, scrum, alinhamento BPO, prioridades</t>
  </si>
  <si>
    <t>Tratamento de Issues Autokiniton, Horas Amvac com Fabio e Nayara, scrum, reunião Smithsm alinhamento com Andre</t>
  </si>
  <si>
    <t>Sprint Semanal BPO Operacional</t>
  </si>
  <si>
    <t>4436-VCK446</t>
  </si>
  <si>
    <t>Bitrix, Projetos BPO com Daneil, 1:1 André, scrum</t>
  </si>
  <si>
    <t>Propostas Adium, visteon e valmont, oportunidades comerciais com Andre, 1:1 Fabio, scrum, alinhamento com Hilmar, alinhamento com Leandro</t>
  </si>
  <si>
    <t>Bitrix, reunião com Hilmar, Horas Kauane, alinhamento ZF, scrum, reunião presencial Adium, governança v-control</t>
  </si>
  <si>
    <t>NB-Universidades</t>
  </si>
  <si>
    <t>Tratamento de propostas - Fup Bitrix, Scrum, Tratamento DEV sobre estimativas e painel de contações</t>
  </si>
  <si>
    <t>Planejamento de atividade na sprint 19, priorização</t>
  </si>
  <si>
    <t>Sprint semanal com Exchange</t>
  </si>
  <si>
    <t>NB-MKT</t>
  </si>
  <si>
    <t>Alinhamento de propostas Valmont, tratamento de isseus Autokiniton, reunião com cliente sobre volume contratual Aptiv, scrum, bitrix, propostas</t>
  </si>
  <si>
    <t>Reunião com exchange sobre base de clientes, preparação de roteiro BPO operacional</t>
  </si>
  <si>
    <t>1:1 Andre, Autokiniton - Issues Marcia, alinhamento com Parpinelli, reunião sobre Tiago Semidei</t>
  </si>
  <si>
    <t>Planejamento de sprint 19</t>
  </si>
  <si>
    <t>Tratamento de issues Autokiniton, oportunidades bitrix com André, 1:1 Fabio</t>
  </si>
  <si>
    <t>FUP de atividade vbpo-465</t>
  </si>
  <si>
    <t>FUP e planejamento de atividades, JIT, volume contratual, fundo de compbate a pobreza, Melhoria na tela 34.14.24.14, Melhorar log do programa 07nfetr1.p</t>
  </si>
  <si>
    <t>Follow up de desenvolvimentos e planejamento de atividades para novembro.</t>
  </si>
  <si>
    <t>Alinhamento de atividades TEC, reunião sobre horas da Kauane, alinhamento com Hilmar, scrum</t>
  </si>
  <si>
    <t>089-vckand</t>
  </si>
  <si>
    <t>5012-VCK446</t>
  </si>
  <si>
    <t>Preparação de reunião gerencial, alinhamento AMVAC, reunião gerencia, reunião com Fábio</t>
  </si>
  <si>
    <t>2024-VCK490</t>
  </si>
  <si>
    <t>NBP-HERA</t>
  </si>
  <si>
    <t>CostRate w/ Taxes</t>
  </si>
  <si>
    <t>Total Cost</t>
  </si>
  <si>
    <t>Project Type</t>
  </si>
  <si>
    <t>074-Vckadi</t>
  </si>
  <si>
    <t>FF</t>
  </si>
  <si>
    <t>095-vckadi</t>
  </si>
  <si>
    <t>128-VckAdi</t>
  </si>
  <si>
    <t>806-Vck446</t>
  </si>
  <si>
    <t>NB-Support</t>
  </si>
  <si>
    <t>NB</t>
  </si>
  <si>
    <t>049-VckAmv</t>
  </si>
  <si>
    <t>T&amp;M</t>
  </si>
  <si>
    <t>010-VckBim</t>
  </si>
  <si>
    <t>115-VCKCER</t>
  </si>
  <si>
    <t>090-VckCnh</t>
  </si>
  <si>
    <t>368-VCK490</t>
  </si>
  <si>
    <t>100-VckHan</t>
  </si>
  <si>
    <t>043-VckHuf</t>
  </si>
  <si>
    <t>fwoJoy58673</t>
  </si>
  <si>
    <t>124-VckMue</t>
  </si>
  <si>
    <t>061-VckNid</t>
  </si>
  <si>
    <t>111-VckNid</t>
  </si>
  <si>
    <t>868-VCKNID</t>
  </si>
  <si>
    <t>046-VckOxb</t>
  </si>
  <si>
    <t>096-VckOxb</t>
  </si>
  <si>
    <t>093-Vckser</t>
  </si>
  <si>
    <t>001-VCKSIT</t>
  </si>
  <si>
    <t>002-VckSIT</t>
  </si>
  <si>
    <t>FWOSMR62794</t>
  </si>
  <si>
    <t>VCK692</t>
  </si>
  <si>
    <t>NB-CloudCert2023</t>
  </si>
  <si>
    <t>NBP-CAIOBA</t>
  </si>
  <si>
    <t>NBP-Capacitacao</t>
  </si>
  <si>
    <t>NBP-Governanca</t>
  </si>
  <si>
    <t>NBP-QADBR+_Lean</t>
  </si>
  <si>
    <t>155-vckZF</t>
  </si>
  <si>
    <t>088-VckZod</t>
  </si>
  <si>
    <t>097+110-vckadi</t>
  </si>
  <si>
    <t>127-VckAdi</t>
  </si>
  <si>
    <t>788-VCK692</t>
  </si>
  <si>
    <t>858-VCK488</t>
  </si>
  <si>
    <t>ZF_894-VCK542</t>
  </si>
  <si>
    <t>NBP-Implantacao-BPO</t>
  </si>
  <si>
    <t>NBP-PE-PLAN23</t>
  </si>
  <si>
    <t>CSA</t>
  </si>
  <si>
    <t>860-VCK562</t>
  </si>
  <si>
    <t>862-VCK538</t>
  </si>
  <si>
    <t>884-VCK526</t>
  </si>
  <si>
    <t>886-VCK704</t>
  </si>
  <si>
    <t>890-VCK500</t>
  </si>
  <si>
    <t>944-VCK528</t>
  </si>
  <si>
    <t>1062-VCK466</t>
  </si>
  <si>
    <t>826-VCK504</t>
  </si>
  <si>
    <t>970-VCK514</t>
  </si>
  <si>
    <t>786-VCK538</t>
  </si>
  <si>
    <t>NBP-WEBUI-FIN</t>
  </si>
  <si>
    <t>984-VCK538</t>
  </si>
  <si>
    <t>NBP-PLAN17</t>
  </si>
  <si>
    <t>NBP-Trein_Vendas</t>
  </si>
  <si>
    <t>976-VCK510</t>
  </si>
  <si>
    <t>NBP-AMCHAM</t>
  </si>
  <si>
    <t>059-VckAdi</t>
  </si>
  <si>
    <t>888-vck446</t>
  </si>
  <si>
    <t>4320-VCK452</t>
  </si>
  <si>
    <t>4520-VCK472</t>
  </si>
  <si>
    <t>4358-VCK510</t>
  </si>
  <si>
    <t>Rótulos de Linha</t>
  </si>
  <si>
    <t>Total Geral</t>
  </si>
  <si>
    <t>Soma de Time Actual</t>
  </si>
  <si>
    <t>Sietech Total</t>
  </si>
  <si>
    <t>NB Total</t>
  </si>
  <si>
    <t>T&amp;M Total</t>
  </si>
  <si>
    <t>FF Total</t>
  </si>
  <si>
    <t>Soma de Total Cost</t>
  </si>
  <si>
    <t>BRP2341</t>
  </si>
  <si>
    <t>BRP2342</t>
  </si>
  <si>
    <t>BRP2343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</si>
</sst>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m/d/yyyy"/>
    <numFmt numFmtId="165" formatCode="#,##0.00_ ;\-#,##0.00\ "/>
    <numFmt numFmtId="166" formatCode="#,##0_ ;\-#,##0\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22" fontId="0" fillId="0" borderId="0" xfId="0" applyNumberFormat="1"/>
    <xf numFmtId="43" fontId="0" fillId="0" borderId="0" xfId="1" applyFont="1"/>
    <xf numFmtId="0" fontId="0" fillId="2" borderId="0" xfId="0" applyFill="1"/>
    <xf numFmtId="164" fontId="0" fillId="0" borderId="0" xfId="0" applyNumberFormat="1"/>
    <xf numFmtId="43" fontId="0" fillId="0" borderId="0" xfId="0" applyNumberFormat="1"/>
    <xf numFmtId="0" fontId="0" fillId="0" borderId="0" xfId="0" pivotButton="1"/>
    <xf numFmtId="0" fontId="0" fillId="3" borderId="0" xfId="0" applyFill="1"/>
    <xf numFmtId="165" fontId="0" fillId="0" borderId="0" xfId="0" applyNumberFormat="1"/>
    <xf numFmtId="165" fontId="0" fillId="2" borderId="0" xfId="0" applyNumberFormat="1" applyFill="1"/>
    <xf numFmtId="165" fontId="0" fillId="3" borderId="0" xfId="0" applyNumberFormat="1" applyFill="1"/>
    <xf numFmtId="166" fontId="0" fillId="0" borderId="0" xfId="0" applyNumberFormat="1"/>
    <xf numFmtId="166" fontId="0" fillId="3" borderId="0" xfId="0" applyNumberFormat="1" applyFill="1"/>
    <xf numFmtId="166" fontId="0" fillId="2" borderId="0" xfId="0" applyNumberFormat="1" applyFill="1"/>
  </cellXfs>
  <cellStyles count="2">
    <cellStyle name="Normal" xfId="0" builtinId="0"/>
    <cellStyle name="Vírgula" xfId="1" builtinId="3"/>
  </cellStyles>
  <dxfs count="43">
    <dxf>
      <fill>
        <patternFill patternType="solid">
          <bgColor rgb="FFFFFF00"/>
        </patternFill>
      </fill>
    </dxf>
    <dxf>
      <fill>
        <patternFill patternType="solid">
          <bgColor theme="3" tint="0.749992370372631"/>
        </patternFill>
      </fill>
    </dxf>
    <dxf>
      <numFmt numFmtId="165" formatCode="#,##0.00_ ;\-#,##0.00\ "/>
    </dxf>
    <dxf>
      <numFmt numFmtId="165" formatCode="#,##0.00_ ;\-#,##0.00\ "/>
    </dxf>
    <dxf>
      <numFmt numFmtId="166" formatCode="#,##0_ ;\-#,##0\ 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theme="3" tint="0.749992370372631"/>
        </patternFill>
      </fill>
    </dxf>
    <dxf>
      <numFmt numFmtId="165" formatCode="#,##0.00_ ;\-#,##0.00\ "/>
    </dxf>
    <dxf>
      <numFmt numFmtId="165" formatCode="#,##0.00_ ;\-#,##0.00\ "/>
    </dxf>
    <dxf>
      <numFmt numFmtId="166" formatCode="#,##0_ ;\-#,##0\ 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</dxf>
    <dxf>
      <numFmt numFmtId="0" formatCode="General"/>
    </dxf>
    <dxf>
      <numFmt numFmtId="0" formatCode="General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atriz Melo" refreshedDate="45632.495344097224" createdVersion="6" refreshedVersion="8" minRefreshableVersion="3" recordCount="1370" xr:uid="{FE9F2961-C041-4BA7-9AD8-C21CBC6AEEF8}">
  <cacheSource type="worksheet">
    <worksheetSource ref="A1:R1048576" sheet="Novembro 2024"/>
  </cacheSource>
  <cacheFields count="18">
    <cacheField name="FunnelID" numFmtId="0">
      <sharedItems containsBlank="1" count="58">
        <s v="480-VCK452"/>
        <s v="968-vck452"/>
        <s v="876-VCK490"/>
        <s v="448-VCK494"/>
        <s v="484-VCK514"/>
        <s v="NB-Consultoria-Tec&amp;Dev"/>
        <s v="NBP-PE-PLAN12"/>
        <s v="NB-Scrum-Dev"/>
        <m/>
        <s v="4436-VCK446" u="1"/>
        <s v="5012-VCK446" u="1"/>
        <s v="7958-VCK446" u="1"/>
        <s v="952-VCK446" u="1"/>
        <s v="7962-VCK448" u="1"/>
        <s v="370-vck22" u="1"/>
        <s v="2174-VCK448" u="1"/>
        <s v="434-VCK448" u="1"/>
        <s v="472-VCK450" u="1"/>
        <s v="089-vckand" u="1"/>
        <s v="4522-VCK452" u="1"/>
        <s v="A7lAPT28665" u="1"/>
        <s v="131-VckAut" u="1"/>
        <s v="NB-Support" u="1"/>
        <s v="068-vckcar" u="1"/>
        <s v="496-VCK472" u="1"/>
        <s v="452-VCK476" u="1"/>
        <s v="872-VCK478" u="1"/>
        <s v="2024-VCK490" u="1"/>
        <s v="458-VCK492" u="1"/>
        <s v="2150-VCK494" u="1"/>
        <s v="950-VCK862" u="1"/>
        <s v="406-VCK498" u="1"/>
        <s v="7950-VCK508" u="1"/>
        <s v="4348-VCK508" u="1"/>
        <s v="4350-VCK514" u="1"/>
        <s v="002-VCKDSCPQAD" u="1"/>
        <s v="CSA" u="1"/>
        <s v="436-VCK520" u="1"/>
        <s v="362-VCK528" u="1"/>
        <s v="151-VckTow" u="1"/>
        <s v="NB-BPO e PMO" u="1"/>
        <s v="NB-MKT" u="1"/>
        <s v="NBP-HERA" u="1"/>
        <s v="NBP-PE-PLAN10" u="1"/>
        <s v="NBP-PLAN107" u="1"/>
        <s v="NBP-PLAN-112" u="1"/>
        <s v="NBP-PREVENDA" u="1"/>
        <s v="NB-Projetos e Consultoria" u="1"/>
        <s v="NBP-WEBUI-LOC" u="1"/>
        <s v="NB-Squad_DevTec" u="1"/>
        <s v="NB-Treinamento" u="1"/>
        <s v="NB-Universidades" u="1"/>
        <s v="NB-REST" u="1"/>
        <s v="NB-VCC" u="1"/>
        <s v="SUP-Outros Projetos" u="1"/>
        <s v="SUP-Treinamento" u="1"/>
        <s v="154-vckZF" u="1"/>
        <s v="4328-VCK1760" u="1"/>
      </sharedItems>
    </cacheField>
    <cacheField name="Work Date" numFmtId="0">
      <sharedItems containsNonDate="0" containsDate="1" containsString="0" containsBlank="1" minDate="2024-11-01T00:00:00" maxDate="2024-11-30T00:00:00"/>
    </cacheField>
    <cacheField name="Date TimeSheet" numFmtId="0">
      <sharedItems containsNonDate="0" containsDate="1" containsString="0" containsBlank="1" minDate="2024-11-05T00:00:00" maxDate="2024-12-03T00:00:00"/>
    </cacheField>
    <cacheField name="CCID" numFmtId="0">
      <sharedItems containsBlank="1"/>
    </cacheField>
    <cacheField name="Year" numFmtId="0">
      <sharedItems containsString="0" containsBlank="1" containsNumber="1" containsInteger="1" minValue="2024" maxValue="2024"/>
    </cacheField>
    <cacheField name="Month" numFmtId="0">
      <sharedItems containsString="0" containsBlank="1" containsNumber="1" containsInteger="1" minValue="11" maxValue="11"/>
    </cacheField>
    <cacheField name="Day" numFmtId="0">
      <sharedItems containsString="0" containsBlank="1" containsNumber="1" containsInteger="1" minValue="1" maxValue="29"/>
    </cacheField>
    <cacheField name="Week" numFmtId="0">
      <sharedItems containsString="0" containsBlank="1" containsNumber="1" containsInteger="1" minValue="44" maxValue="48"/>
    </cacheField>
    <cacheField name="Time Actual" numFmtId="0">
      <sharedItems containsString="0" containsBlank="1" containsNumber="1" containsInteger="1" minValue="1" maxValue="11"/>
    </cacheField>
    <cacheField name="Company" numFmtId="0">
      <sharedItems containsBlank="1" count="29">
        <s v="Sietech"/>
        <m/>
        <s v="PHL" u="1"/>
        <s v="WTK" u="1"/>
        <s v="DMS" u="1"/>
        <s v="Diando" u="1"/>
        <s v="TFA" u="1"/>
        <s v="Domain Informatica" u="1"/>
        <s v="RUAH" u="1"/>
        <s v="CZ" u="1"/>
        <s v="Ceta" u="1"/>
        <s v="CYP" u="1"/>
        <s v="GMB SERVICOS INFORMATICA" u="1"/>
        <s v="NHvala" u="1"/>
        <s v="NEO" u="1"/>
        <s v="LAAM" u="1"/>
        <s v="FDV Gprojetos" u="1"/>
        <s v="LF Solucoes TI" u="1"/>
        <s v="Bright Eleven" u="1"/>
        <s v="High Business" u="1"/>
        <s v="ISL" u="1"/>
        <s v="Vockan Consulting" u="1"/>
        <s v="DR Tecnologia" u="1"/>
        <s v="Web Working" u="1"/>
        <s v="Loss Consultoria" u="1"/>
        <s v="AGOB" u="1"/>
        <s v="LGATTI" u="1"/>
        <s v="Castrofrade TP" u="1"/>
        <s v="Bruno Bonadio Lopez" u="1"/>
      </sharedItems>
    </cacheField>
    <cacheField name="Resource Name" numFmtId="0">
      <sharedItems containsBlank="1" count="51">
        <s v="Nelson Simoes"/>
        <m/>
        <s v="Leandro Senna-vk" u="1"/>
        <s v="Walter Augusto-vk" u="1"/>
        <s v="Andre Parpinelli-vk" u="1"/>
        <s v="Reginaldo Almeida-vk" u="1"/>
        <s v="Benedito Souza-vk" u="1"/>
        <s v="Diogo Aguiar-vk" u="1"/>
        <s v="Fabio Costa-vk" u="1"/>
        <s v="Marcia Silva-vk" u="1"/>
        <s v="Thiago Queiros-vk" u="1"/>
        <s v="Renato Louzada-vk" u="1"/>
        <s v="Higo Scheunemann-vk" u="1"/>
        <s v="Geraldo Silva-vk" u="1"/>
        <s v="Leonardo Parrillo-vk" u="1"/>
        <s v="Gabriel Brigo-vk" u="1"/>
        <s v="Nayara Hvala" u="1"/>
        <s v="Ederson Alexandre-vk" u="1"/>
        <s v="Eduardo Provenzano-vk" u="1"/>
        <s v="Jan Lustig" u="1"/>
        <s v="Marcos Xavier" u="1"/>
        <s v="Walter Braz-vk" u="1"/>
        <s v="Edson Risso-vk" u="1"/>
        <s v="Luiz Alfredo-vk" u="1"/>
        <s v="Fernanda Dias-vk" u="1"/>
        <s v="Eduardo Moreno-vk" u="1"/>
        <s v="Pedro Silva-vk" u="1"/>
        <s v="Leandro Francischinelli" u="1"/>
        <s v="Jefte Villar-vk" u="1"/>
        <s v="Sergio Ziroldo-vk" u="1"/>
        <s v="Clovis Silva-vk" u="1"/>
        <s v="Kennedy Teixeira-vk" u="1"/>
        <s v="Miguel Castaneda-vk" u="1"/>
        <s v="Ismael Lopes-vk" u="1"/>
        <s v="Vinicius Knipers-vk" u="1"/>
        <s v="Carlos Pitondo-vk" u="1"/>
        <s v="Daniel Amaral-vk" u="1"/>
        <s v="Tiago Semidei" u="1"/>
        <s v="Kauane Rocha" u="1"/>
        <s v="Sildemar Sousa-vk" u="1"/>
        <s v="Guilherme Loss" u="1"/>
        <s v="Ana Bispo" u="1"/>
        <s v="Emerson Lopes" u="1"/>
        <s v="Lincoln Gatti" u="1"/>
        <s v="Marcelo Cunha-vk" u="1"/>
        <s v="Marcelo Frade" u="1"/>
        <s v="Nilson Santana-vk" u="1"/>
        <s v="Allan Oliveira" u="1"/>
        <s v="Bruno Bonadio" u="1"/>
        <s v="Giovana Rodrigues" u="1"/>
        <s v="Mario Bertachini" u="1"/>
      </sharedItems>
    </cacheField>
    <cacheField name="Role" numFmtId="0">
      <sharedItems containsBlank="1"/>
    </cacheField>
    <cacheField name="Comments" numFmtId="0">
      <sharedItems containsBlank="1"/>
    </cacheField>
    <cacheField name="CostRate" numFmtId="0">
      <sharedItems containsString="0" containsBlank="1" containsNumber="1" minValue="86.43" maxValue="157"/>
    </cacheField>
    <cacheField name="CostRate w/ Taxes" numFmtId="0">
      <sharedItems containsString="0" containsBlank="1" containsNumber="1" minValue="29.862258953168048" maxValue="1500" count="45">
        <n v="173.00275482093664"/>
        <n v="110"/>
        <n v="95.239669421487619"/>
        <m/>
        <n v="182.99724517906336" u="1"/>
        <n v="120.00000000000001" u="1"/>
        <n v="140" u="1"/>
        <n v="114.99724517906337" u="1"/>
        <n v="98.247933884297524" u="1"/>
        <n v="126.99724517906337" u="1"/>
        <n v="423.5333333333333" u="1"/>
        <n v="260.39669421487605" u="1"/>
        <n v="222" u="1"/>
        <n v="178.99724517906336" u="1"/>
        <n v="165.00275482093664" u="1"/>
        <n v="142.99724517906338" u="1"/>
        <n v="234.38016528925618" u="1"/>
        <n v="96.1542699724518" u="1"/>
        <n v="56" u="1"/>
        <n v="121.00000000000001" u="1"/>
        <n v="124" u="1"/>
        <n v="93.002754820936644" u="1"/>
        <n v="160" u="1"/>
        <n v="145.00055096418731" u="1"/>
        <n v="180" u="1"/>
        <n v="70" u="1"/>
        <n v="61.663911845730027" u="1"/>
        <n v="96.000000000000014" u="1"/>
        <n v="32.143250688705237" u="1"/>
        <n v="73.168044077134994" u="1"/>
        <n v="190" u="1"/>
        <n v="76.385674931129472" u="1"/>
        <n v="53.575757575757578" u="1"/>
        <n v="29.862258953168048" u="1"/>
        <n v="150" u="1"/>
        <n v="195" u="1"/>
        <n v="157" u="1"/>
        <n v="65.002754820936644" u="1"/>
        <n v="94.997245179063356" u="1"/>
        <n v="130" u="1"/>
        <n v="106" u="1"/>
        <n v="74.99724517906337" u="1"/>
        <n v="30.920110192837466" u="1"/>
        <n v="1500" u="1"/>
        <n v="808.69421487603302" u="1"/>
      </sharedItems>
    </cacheField>
    <cacheField name="Total Cost" numFmtId="0">
      <sharedItems containsString="0" containsBlank="1" containsNumber="1" minValue="110" maxValue="1210"/>
    </cacheField>
    <cacheField name="Customer Name" numFmtId="0">
      <sharedItems containsBlank="1"/>
    </cacheField>
    <cacheField name="Project Type" numFmtId="0">
      <sharedItems containsNonDate="0" containsBlank="1" count="4">
        <s v="FF"/>
        <s v="NB"/>
        <s v="T&amp;M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0">
  <r>
    <x v="0"/>
    <d v="2024-11-28T00:00:00"/>
    <d v="2024-12-02T00:00:00"/>
    <s v="SOW"/>
    <n v="2024"/>
    <n v="11"/>
    <n v="28"/>
    <n v="48"/>
    <n v="3"/>
    <x v="0"/>
    <x v="0"/>
    <s v="Program Manager"/>
    <s v="Planejamento de ações pré fechamento anual, sprint de taskforce."/>
    <n v="157"/>
    <x v="0"/>
    <n v="519.00826446280996"/>
    <s v="APTIV Man e Serv de Distr. Ltda"/>
    <x v="0"/>
  </r>
  <r>
    <x v="1"/>
    <d v="2024-11-28T00:00:00"/>
    <d v="2024-12-02T00:00:00"/>
    <s v="SOW"/>
    <n v="2024"/>
    <n v="11"/>
    <n v="28"/>
    <n v="48"/>
    <n v="1"/>
    <x v="0"/>
    <x v="0"/>
    <s v="Project Manager"/>
    <s v="Acompanhamento JIT"/>
    <n v="157"/>
    <x v="0"/>
    <n v="173.00275482093664"/>
    <s v="APTIV Man e Serv de Distr. Ltda"/>
    <x v="1"/>
  </r>
  <r>
    <x v="1"/>
    <d v="2024-11-05T00:00:00"/>
    <d v="2024-11-11T00:00:00"/>
    <s v="SOW"/>
    <n v="2024"/>
    <n v="11"/>
    <n v="5"/>
    <n v="45"/>
    <n v="3"/>
    <x v="0"/>
    <x v="0"/>
    <s v="Project Manager"/>
    <s v="FUP e planejamento de atividades, JIT, volume contratual, fundo de compbate a pobreza, Melhoria na tela 34.14.24.14, Melhorar log do programa 07nfetr1.p"/>
    <n v="157"/>
    <x v="0"/>
    <n v="519.00826446280996"/>
    <s v="APTIV Man e Serv de Distr. Ltda"/>
    <x v="1"/>
  </r>
  <r>
    <x v="2"/>
    <d v="2024-11-04T00:00:00"/>
    <d v="2024-11-11T00:00:00"/>
    <s v="SOW"/>
    <n v="2024"/>
    <n v="11"/>
    <n v="4"/>
    <n v="45"/>
    <n v="1"/>
    <x v="0"/>
    <x v="0"/>
    <s v="Project Manager"/>
    <s v="Follow up de desenvolvimentos e planejamento de atividades para novembro."/>
    <n v="157"/>
    <x v="0"/>
    <n v="173.00275482093664"/>
    <s v="Freudenberg Nok Comp Br Ltd"/>
    <x v="2"/>
  </r>
  <r>
    <x v="3"/>
    <d v="2024-11-08T00:00:00"/>
    <d v="2024-11-11T00:00:00"/>
    <s v="SOW"/>
    <n v="2024"/>
    <n v="11"/>
    <n v="8"/>
    <n v="45"/>
    <n v="1"/>
    <x v="0"/>
    <x v="0"/>
    <s v="Program Manager"/>
    <s v="Planejamento de atividade na sprint 19, priorização"/>
    <n v="157"/>
    <x v="0"/>
    <n v="173.00275482093664"/>
    <s v="HUF do Brasil Ltda"/>
    <x v="0"/>
  </r>
  <r>
    <x v="4"/>
    <d v="2024-11-05T00:00:00"/>
    <d v="2024-11-11T00:00:00"/>
    <s v="SOW"/>
    <n v="2024"/>
    <n v="11"/>
    <n v="5"/>
    <n v="45"/>
    <n v="1"/>
    <x v="0"/>
    <x v="0"/>
    <s v="Project Manager"/>
    <s v="FUP de atividade vbpo-465"/>
    <n v="157"/>
    <x v="0"/>
    <n v="173.00275482093664"/>
    <s v="OXBO DO BRASIL EQUIPAMENTOS"/>
    <x v="0"/>
  </r>
  <r>
    <x v="5"/>
    <d v="2024-11-29T00:00:00"/>
    <d v="2024-12-02T00:00:00"/>
    <s v="NB01"/>
    <n v="2024"/>
    <n v="11"/>
    <n v="29"/>
    <n v="48"/>
    <n v="10"/>
    <x v="0"/>
    <x v="0"/>
    <s v="Program Manager"/>
    <s v="Reunião com André para alinhamento de Bitrix, tratamento de cards, reunião com Fabricio sobre viagem, tratativas Autokiniton com cliente, Scrum"/>
    <n v="99.83"/>
    <x v="1"/>
    <n v="1100"/>
    <s v="Vockan Consulting Ltda"/>
    <x v="1"/>
  </r>
  <r>
    <x v="5"/>
    <d v="2024-11-28T00:00:00"/>
    <d v="2024-12-02T00:00:00"/>
    <s v="NB01"/>
    <n v="2024"/>
    <n v="11"/>
    <n v="28"/>
    <n v="48"/>
    <n v="3"/>
    <x v="0"/>
    <x v="0"/>
    <s v="Program Manager"/>
    <s v="Entrevista com novos recursos, scrum, reunião com Clarios, FUP Tiago Semidei"/>
    <n v="99.83"/>
    <x v="1"/>
    <n v="330"/>
    <s v="Vockan Consulting Ltda"/>
    <x v="1"/>
  </r>
  <r>
    <x v="5"/>
    <d v="2024-11-27T00:00:00"/>
    <d v="2024-12-02T00:00:00"/>
    <s v="NB01"/>
    <n v="2024"/>
    <n v="11"/>
    <n v="27"/>
    <n v="48"/>
    <n v="8"/>
    <x v="0"/>
    <x v="0"/>
    <s v="Program Manager"/>
    <s v="Reunião com Higo sobre Mario Bertachini, Solides - reunião sobre feedbacks, 1:1 André, Scrum, reunião Visteon"/>
    <n v="99.83"/>
    <x v="1"/>
    <n v="880"/>
    <s v="Vockan Consulting Ltda"/>
    <x v="1"/>
  </r>
  <r>
    <x v="5"/>
    <d v="2024-11-26T00:00:00"/>
    <d v="2024-12-02T00:00:00"/>
    <s v="NB01"/>
    <n v="2024"/>
    <n v="11"/>
    <n v="26"/>
    <n v="48"/>
    <n v="9"/>
    <x v="0"/>
    <x v="0"/>
    <s v="Program Manager"/>
    <s v="Checkpoint Zeis, alinhamento com Guilherme, planejamento de treinamentos, revisão bitrix com André, reunião Progress, reunião sobre Casco, estimativa com Hilmar, scrum"/>
    <n v="99.83"/>
    <x v="1"/>
    <n v="990"/>
    <s v="Vockan Consulting Ltda"/>
    <x v="1"/>
  </r>
  <r>
    <x v="5"/>
    <d v="2024-11-25T00:00:00"/>
    <d v="2024-12-02T00:00:00"/>
    <s v="NB01"/>
    <n v="2024"/>
    <n v="11"/>
    <n v="25"/>
    <n v="48"/>
    <n v="8"/>
    <x v="0"/>
    <x v="0"/>
    <s v="Program Manager"/>
    <s v="Alinhamento com Fábio e Hilmar, presencial, tratativas Autokiniton e Aptiv, planejamento de sprint 20"/>
    <n v="99.83"/>
    <x v="1"/>
    <n v="880"/>
    <s v="Vockan Consulting Ltda"/>
    <x v="1"/>
  </r>
  <r>
    <x v="5"/>
    <d v="2024-11-22T00:00:00"/>
    <d v="2024-11-25T00:00:00"/>
    <s v="NB01"/>
    <n v="2024"/>
    <n v="11"/>
    <n v="22"/>
    <n v="47"/>
    <n v="11"/>
    <x v="0"/>
    <x v="0"/>
    <s v="Program Manager"/>
    <s v="1:1 Andre, alinhamento com Carla, Adium, Propostas, Alinhamento com sobre vbpo Adium, reunião com Hanon, Reunião de projetos"/>
    <n v="99.83"/>
    <x v="1"/>
    <n v="1210"/>
    <s v="Vockan Consulting Ltda"/>
    <x v="1"/>
  </r>
  <r>
    <x v="5"/>
    <d v="2024-11-21T00:00:00"/>
    <d v="2024-11-25T00:00:00"/>
    <s v="NB01"/>
    <n v="2024"/>
    <n v="11"/>
    <n v="21"/>
    <n v="47"/>
    <n v="7"/>
    <x v="0"/>
    <x v="0"/>
    <s v="Program Manager"/>
    <s v="alinhamento zeiss, propostas Adium, capacitação exchange, avaliação - Bruno - com Luis, reunião com Cestari, alinhamento com Benedito"/>
    <n v="99.83"/>
    <x v="1"/>
    <n v="770"/>
    <s v="Vockan Consulting Ltda"/>
    <x v="1"/>
  </r>
  <r>
    <x v="5"/>
    <d v="2024-11-19T00:00:00"/>
    <d v="2024-11-25T00:00:00"/>
    <s v="NB01"/>
    <n v="2024"/>
    <n v="11"/>
    <n v="19"/>
    <n v="47"/>
    <n v="8"/>
    <x v="0"/>
    <x v="0"/>
    <s v="Program Manager"/>
    <s v="alinhamento de demandas aptiv, fup oportunidades no Bitrix, fechamento de sprint 19, 1:1 Fabio, BPO operacional amvac"/>
    <n v="99.83"/>
    <x v="1"/>
    <n v="880"/>
    <s v="Vockan Consulting Ltda"/>
    <x v="1"/>
  </r>
  <r>
    <x v="5"/>
    <d v="2024-11-18T00:00:00"/>
    <d v="2024-11-25T00:00:00"/>
    <s v="NB01"/>
    <n v="2024"/>
    <n v="11"/>
    <n v="18"/>
    <n v="47"/>
    <n v="9"/>
    <x v="0"/>
    <x v="0"/>
    <s v="Program Manager"/>
    <s v="Jit Aptiv, alinhamento, warroom autokiniton, scrum, alinhamento BPO, prioridades"/>
    <n v="99.83"/>
    <x v="1"/>
    <n v="990"/>
    <s v="Vockan Consulting Ltda"/>
    <x v="1"/>
  </r>
  <r>
    <x v="5"/>
    <d v="2024-11-14T00:00:00"/>
    <d v="2024-11-18T00:00:00"/>
    <s v="NB01"/>
    <n v="2024"/>
    <n v="11"/>
    <n v="14"/>
    <n v="46"/>
    <n v="7"/>
    <x v="0"/>
    <x v="0"/>
    <s v="Program Manager"/>
    <s v="Tratamento de Issues Autokiniton, Horas Amvac com Fabio e Nayara, scrum, reunião Smithsm alinhamento com Andre"/>
    <n v="99.83"/>
    <x v="1"/>
    <n v="770"/>
    <s v="Vockan Consulting Ltda"/>
    <x v="1"/>
  </r>
  <r>
    <x v="5"/>
    <d v="2024-11-13T00:00:00"/>
    <d v="2024-11-18T00:00:00"/>
    <s v="SOW"/>
    <n v="2024"/>
    <n v="11"/>
    <n v="13"/>
    <n v="46"/>
    <n v="10"/>
    <x v="0"/>
    <x v="0"/>
    <s v="Project Manager"/>
    <s v="Bitrix, Projetos BPO com Daneil, 1:1 André, scrum"/>
    <n v="86.43"/>
    <x v="2"/>
    <n v="952.39669421487622"/>
    <s v="Vockan Consulting Ltda"/>
    <x v="1"/>
  </r>
  <r>
    <x v="5"/>
    <d v="2024-11-12T00:00:00"/>
    <d v="2024-11-18T00:00:00"/>
    <s v="SOW"/>
    <n v="2024"/>
    <n v="11"/>
    <n v="12"/>
    <n v="46"/>
    <n v="8"/>
    <x v="0"/>
    <x v="0"/>
    <s v="Project Manager"/>
    <s v="Propostas Adium, visteon e valmont, oportunidades comerciais com Andre, 1:1 Fabio, scrum, alinhamento com Hilmar, alinhamento com Leandro"/>
    <n v="86.43"/>
    <x v="2"/>
    <n v="761.91735537190095"/>
    <s v="Vockan Consulting Ltda"/>
    <x v="1"/>
  </r>
  <r>
    <x v="5"/>
    <d v="2024-11-11T00:00:00"/>
    <d v="2024-11-18T00:00:00"/>
    <s v="SOW"/>
    <n v="2024"/>
    <n v="11"/>
    <n v="11"/>
    <n v="46"/>
    <n v="9"/>
    <x v="0"/>
    <x v="0"/>
    <s v="Project Manager"/>
    <s v="Bitrix, reunião com Hilmar, Horas Kauane, alinhamento ZF, scrum, reunião presencial Adium, governança v-control"/>
    <n v="86.43"/>
    <x v="2"/>
    <n v="857.15702479338859"/>
    <s v="Vockan Consulting Ltda"/>
    <x v="1"/>
  </r>
  <r>
    <x v="5"/>
    <d v="2024-11-08T00:00:00"/>
    <d v="2024-11-11T00:00:00"/>
    <s v="NB01"/>
    <n v="2024"/>
    <n v="11"/>
    <n v="8"/>
    <n v="45"/>
    <n v="7"/>
    <x v="0"/>
    <x v="0"/>
    <s v="Program Manager"/>
    <s v="Tratamento de propostas - Fup Bitrix, Scrum, Tratamento DEV sobre estimativas e painel de contações"/>
    <n v="99.83"/>
    <x v="1"/>
    <n v="770"/>
    <s v="Vockan Consulting Ltda"/>
    <x v="1"/>
  </r>
  <r>
    <x v="5"/>
    <d v="2024-11-07T00:00:00"/>
    <d v="2024-11-11T00:00:00"/>
    <s v="NB01"/>
    <n v="2024"/>
    <n v="11"/>
    <n v="7"/>
    <n v="45"/>
    <n v="7"/>
    <x v="0"/>
    <x v="0"/>
    <s v="Program Manager"/>
    <s v="Alinhamento de propostas Valmont, tratamento de isseus Autokiniton, reunião com cliente sobre volume contratual Aptiv, scrum, bitrix, propostas"/>
    <n v="99.83"/>
    <x v="1"/>
    <n v="770"/>
    <s v="Vockan Consulting Ltda"/>
    <x v="1"/>
  </r>
  <r>
    <x v="5"/>
    <d v="2024-11-06T00:00:00"/>
    <d v="2024-11-11T00:00:00"/>
    <s v="NB01"/>
    <n v="2024"/>
    <n v="11"/>
    <n v="6"/>
    <n v="45"/>
    <n v="4"/>
    <x v="0"/>
    <x v="0"/>
    <s v="Program Manager"/>
    <s v="1:1 Andre, Autokiniton - Issues Marcia, alinhamento com Parpinelli, reunião sobre Tiago Semidei"/>
    <n v="99.83"/>
    <x v="1"/>
    <n v="440"/>
    <s v="Vockan Consulting Ltda"/>
    <x v="1"/>
  </r>
  <r>
    <x v="5"/>
    <d v="2024-11-05T00:00:00"/>
    <d v="2024-11-11T00:00:00"/>
    <s v="NB01"/>
    <n v="2024"/>
    <n v="11"/>
    <n v="5"/>
    <n v="45"/>
    <n v="4"/>
    <x v="0"/>
    <x v="0"/>
    <s v="Program Manager"/>
    <s v="Tratamento de issues Autokiniton, oportunidades bitrix com André, 1:1 Fabio"/>
    <n v="99.83"/>
    <x v="1"/>
    <n v="440"/>
    <s v="Vockan Consulting Ltda"/>
    <x v="1"/>
  </r>
  <r>
    <x v="5"/>
    <d v="2024-11-04T00:00:00"/>
    <d v="2024-11-11T00:00:00"/>
    <s v="NB01"/>
    <n v="2024"/>
    <n v="11"/>
    <n v="4"/>
    <n v="45"/>
    <n v="7"/>
    <x v="0"/>
    <x v="0"/>
    <s v="Program Manager"/>
    <s v="Alinhamento de atividades TEC, reunião sobre horas da Kauane, alinhamento com Hilmar, scrum"/>
    <n v="99.83"/>
    <x v="1"/>
    <n v="770"/>
    <s v="Vockan Consulting Ltda"/>
    <x v="1"/>
  </r>
  <r>
    <x v="5"/>
    <d v="2024-11-01T00:00:00"/>
    <d v="2024-11-05T00:00:00"/>
    <s v="NB01"/>
    <n v="2024"/>
    <n v="11"/>
    <n v="1"/>
    <n v="44"/>
    <n v="8"/>
    <x v="0"/>
    <x v="0"/>
    <s v="Program Manager"/>
    <s v="Preparação de reunião gerencial, alinhamento AMVAC, reunião gerencia, reunião com Fábio"/>
    <n v="99.83"/>
    <x v="1"/>
    <n v="880"/>
    <s v="Vockan Consulting Ltda"/>
    <x v="1"/>
  </r>
  <r>
    <x v="6"/>
    <d v="2024-11-28T00:00:00"/>
    <d v="2024-12-02T00:00:00"/>
    <s v="SOW"/>
    <n v="2024"/>
    <n v="11"/>
    <n v="28"/>
    <n v="48"/>
    <n v="1"/>
    <x v="0"/>
    <x v="0"/>
    <s v="Project Manager"/>
    <s v="Sprint semanal"/>
    <n v="99.83"/>
    <x v="1"/>
    <n v="110"/>
    <s v="Vockan Consulting Ltda"/>
    <x v="1"/>
  </r>
  <r>
    <x v="6"/>
    <d v="2024-11-21T00:00:00"/>
    <d v="2024-11-25T00:00:00"/>
    <s v="SOW"/>
    <n v="2024"/>
    <n v="11"/>
    <n v="21"/>
    <n v="47"/>
    <n v="1"/>
    <x v="0"/>
    <x v="0"/>
    <s v="Project Manager"/>
    <s v="sprint semanal, bpo operacional"/>
    <n v="99.83"/>
    <x v="1"/>
    <n v="110"/>
    <s v="Vockan Consulting Ltda"/>
    <x v="1"/>
  </r>
  <r>
    <x v="6"/>
    <d v="2024-11-14T00:00:00"/>
    <d v="2024-11-18T00:00:00"/>
    <s v="SOW"/>
    <n v="2024"/>
    <n v="11"/>
    <n v="14"/>
    <n v="46"/>
    <n v="1"/>
    <x v="0"/>
    <x v="0"/>
    <s v="Project Manager"/>
    <s v="Sprint Semanal BPO Operacional"/>
    <n v="99.83"/>
    <x v="1"/>
    <n v="110"/>
    <s v="Vockan Consulting Ltda"/>
    <x v="1"/>
  </r>
  <r>
    <x v="6"/>
    <d v="2024-11-07T00:00:00"/>
    <d v="2024-11-11T00:00:00"/>
    <s v="SOW"/>
    <n v="2024"/>
    <n v="11"/>
    <n v="7"/>
    <n v="45"/>
    <n v="1"/>
    <x v="0"/>
    <x v="0"/>
    <s v="Project Manager"/>
    <s v="Sprint semanal com Exchange"/>
    <n v="99.83"/>
    <x v="1"/>
    <n v="110"/>
    <s v="Vockan Consulting Ltda"/>
    <x v="1"/>
  </r>
  <r>
    <x v="6"/>
    <d v="2024-11-06T00:00:00"/>
    <d v="2024-11-11T00:00:00"/>
    <s v="SOW"/>
    <n v="2024"/>
    <n v="11"/>
    <n v="6"/>
    <n v="45"/>
    <n v="2"/>
    <x v="0"/>
    <x v="0"/>
    <s v="Project Manager"/>
    <s v="Reunião com exchange sobre base de clientes, preparação de roteiro BPO operacional"/>
    <n v="99.83"/>
    <x v="1"/>
    <n v="220"/>
    <s v="Vockan Consulting Ltda"/>
    <x v="1"/>
  </r>
  <r>
    <x v="7"/>
    <d v="2024-11-06T00:00:00"/>
    <d v="2024-11-11T00:00:00"/>
    <s v="SOW"/>
    <n v="2024"/>
    <n v="11"/>
    <n v="6"/>
    <n v="45"/>
    <n v="2"/>
    <x v="0"/>
    <x v="0"/>
    <s v="Program Manager"/>
    <s v="Planejamento de sprint 19"/>
    <n v="86.43"/>
    <x v="2"/>
    <n v="190.47933884297524"/>
    <s v="Vockan Consulting Ltda"/>
    <x v="1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  <r>
    <x v="8"/>
    <m/>
    <m/>
    <m/>
    <m/>
    <m/>
    <m/>
    <m/>
    <m/>
    <x v="1"/>
    <x v="1"/>
    <m/>
    <m/>
    <m/>
    <x v="3"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FD6219-A5C8-4ECB-A70A-8098EEFA4090}" name="Tabela dinâmica1" cacheId="20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3:G17" firstHeaderRow="0" firstDataRow="1" firstDataCol="5"/>
  <pivotFields count="18">
    <pivotField axis="axisRow" outline="0" showAll="0" defaultSubtotal="0">
      <items count="58">
        <item m="1" x="35"/>
        <item m="1" x="23"/>
        <item m="1" x="18"/>
        <item m="1" x="21"/>
        <item m="1" x="39"/>
        <item m="1" x="56"/>
        <item m="1" x="27"/>
        <item m="1" x="29"/>
        <item m="1" x="15"/>
        <item m="1" x="38"/>
        <item m="1" x="14"/>
        <item m="1" x="31"/>
        <item m="1" x="57"/>
        <item m="1" x="33"/>
        <item m="1" x="16"/>
        <item m="1" x="34"/>
        <item m="1" x="37"/>
        <item m="1" x="9"/>
        <item x="3"/>
        <item m="1" x="19"/>
        <item m="1" x="25"/>
        <item m="1" x="28"/>
        <item m="1" x="17"/>
        <item x="0"/>
        <item x="4"/>
        <item m="1" x="24"/>
        <item m="1" x="10"/>
        <item m="1" x="32"/>
        <item m="1" x="11"/>
        <item m="1" x="13"/>
        <item m="1" x="26"/>
        <item x="2"/>
        <item m="1" x="30"/>
        <item m="1" x="12"/>
        <item x="1"/>
        <item m="1" x="20"/>
        <item m="1" x="36"/>
        <item m="1" x="40"/>
        <item x="5"/>
        <item m="1" x="41"/>
        <item m="1" x="42"/>
        <item m="1" x="43"/>
        <item x="6"/>
        <item m="1" x="44"/>
        <item m="1" x="45"/>
        <item m="1" x="46"/>
        <item m="1" x="47"/>
        <item m="1" x="48"/>
        <item m="1" x="52"/>
        <item x="7"/>
        <item m="1" x="49"/>
        <item m="1" x="22"/>
        <item m="1" x="50"/>
        <item m="1" x="51"/>
        <item m="1" x="53"/>
        <item m="1" x="54"/>
        <item m="1" x="55"/>
        <item x="8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outline="0" showAll="0">
      <items count="30">
        <item m="1" x="25"/>
        <item m="1" x="18"/>
        <item m="1" x="28"/>
        <item m="1" x="27"/>
        <item m="1" x="10"/>
        <item m="1" x="11"/>
        <item m="1" x="9"/>
        <item m="1" x="5"/>
        <item m="1" x="4"/>
        <item m="1" x="7"/>
        <item m="1" x="22"/>
        <item m="1" x="16"/>
        <item m="1" x="12"/>
        <item m="1" x="19"/>
        <item m="1" x="20"/>
        <item m="1" x="15"/>
        <item m="1" x="17"/>
        <item m="1" x="26"/>
        <item m="1" x="24"/>
        <item m="1" x="14"/>
        <item m="1" x="13"/>
        <item m="1" x="2"/>
        <item m="1" x="8"/>
        <item x="0"/>
        <item m="1" x="6"/>
        <item h="1" m="1" x="21"/>
        <item m="1" x="23"/>
        <item m="1" x="3"/>
        <item h="1" x="1"/>
        <item t="default"/>
      </items>
    </pivotField>
    <pivotField axis="axisRow" outline="0" showAll="0" defaultSubtotal="0">
      <items count="51">
        <item m="1" x="47"/>
        <item m="1" x="41"/>
        <item m="1" x="4"/>
        <item m="1" x="6"/>
        <item m="1" x="48"/>
        <item m="1" x="35"/>
        <item m="1" x="30"/>
        <item m="1" x="36"/>
        <item m="1" x="7"/>
        <item m="1" x="17"/>
        <item m="1" x="22"/>
        <item m="1" x="25"/>
        <item m="1" x="18"/>
        <item m="1" x="42"/>
        <item m="1" x="8"/>
        <item m="1" x="24"/>
        <item m="1" x="15"/>
        <item m="1" x="13"/>
        <item m="1" x="49"/>
        <item m="1" x="40"/>
        <item m="1" x="12"/>
        <item m="1" x="33"/>
        <item m="1" x="19"/>
        <item m="1" x="28"/>
        <item m="1" x="38"/>
        <item m="1" x="31"/>
        <item m="1" x="27"/>
        <item m="1" x="2"/>
        <item m="1" x="14"/>
        <item m="1" x="43"/>
        <item m="1" x="23"/>
        <item m="1" x="44"/>
        <item m="1" x="45"/>
        <item m="1" x="9"/>
        <item m="1" x="20"/>
        <item m="1" x="50"/>
        <item m="1" x="32"/>
        <item m="1" x="16"/>
        <item x="0"/>
        <item m="1" x="46"/>
        <item m="1" x="26"/>
        <item m="1" x="5"/>
        <item m="1" x="11"/>
        <item m="1" x="29"/>
        <item m="1" x="39"/>
        <item m="1" x="10"/>
        <item m="1" x="37"/>
        <item m="1" x="34"/>
        <item m="1" x="3"/>
        <item m="1" x="21"/>
        <item x="1"/>
      </items>
    </pivotField>
    <pivotField showAll="0"/>
    <pivotField showAll="0"/>
    <pivotField showAll="0"/>
    <pivotField axis="axisRow" outline="0" showAll="0" defaultSubtotal="0">
      <items count="45">
        <item m="1" x="33"/>
        <item m="1" x="42"/>
        <item m="1" x="28"/>
        <item m="1" x="32"/>
        <item m="1" x="18"/>
        <item m="1" x="26"/>
        <item m="1" x="37"/>
        <item m="1" x="25"/>
        <item m="1" x="29"/>
        <item m="1" x="41"/>
        <item m="1" x="31"/>
        <item m="1" x="21"/>
        <item m="1" x="38"/>
        <item x="2"/>
        <item m="1" x="27"/>
        <item m="1" x="17"/>
        <item m="1" x="8"/>
        <item m="1" x="40"/>
        <item x="1"/>
        <item m="1" x="7"/>
        <item m="1" x="5"/>
        <item m="1" x="19"/>
        <item m="1" x="20"/>
        <item m="1" x="9"/>
        <item m="1" x="39"/>
        <item m="1" x="6"/>
        <item m="1" x="15"/>
        <item m="1" x="23"/>
        <item m="1" x="34"/>
        <item m="1" x="36"/>
        <item m="1" x="22"/>
        <item m="1" x="14"/>
        <item x="0"/>
        <item m="1" x="13"/>
        <item m="1" x="24"/>
        <item m="1" x="4"/>
        <item m="1" x="30"/>
        <item m="1" x="35"/>
        <item m="1" x="12"/>
        <item m="1" x="16"/>
        <item m="1" x="11"/>
        <item m="1" x="10"/>
        <item m="1" x="44"/>
        <item m="1" x="43"/>
        <item x="3"/>
      </items>
    </pivotField>
    <pivotField dataField="1" showAll="0"/>
    <pivotField showAll="0"/>
    <pivotField axis="axisRow" outline="0" showAll="0">
      <items count="5">
        <item x="0"/>
        <item x="2"/>
        <item x="1"/>
        <item x="3"/>
        <item t="default"/>
      </items>
    </pivotField>
  </pivotFields>
  <rowFields count="5">
    <field x="9"/>
    <field x="17"/>
    <field x="10"/>
    <field x="0"/>
    <field x="14"/>
  </rowFields>
  <rowItems count="14">
    <i>
      <x v="23"/>
      <x/>
      <x v="38"/>
      <x v="18"/>
      <x v="32"/>
    </i>
    <i r="3">
      <x v="23"/>
      <x v="32"/>
    </i>
    <i r="3">
      <x v="24"/>
      <x v="32"/>
    </i>
    <i t="default" r="1">
      <x/>
    </i>
    <i r="1">
      <x v="1"/>
      <x v="38"/>
      <x v="31"/>
      <x v="32"/>
    </i>
    <i t="default" r="1">
      <x v="1"/>
    </i>
    <i r="1">
      <x v="2"/>
      <x v="38"/>
      <x v="34"/>
      <x v="32"/>
    </i>
    <i r="3">
      <x v="38"/>
      <x v="13"/>
    </i>
    <i r="4">
      <x v="18"/>
    </i>
    <i r="3">
      <x v="42"/>
      <x v="18"/>
    </i>
    <i r="3">
      <x v="49"/>
      <x v="13"/>
    </i>
    <i t="default" r="1">
      <x v="2"/>
    </i>
    <i t="default"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Time Actual" fld="8" baseField="17" baseItem="1" numFmtId="165"/>
    <dataField name="Soma de Total Cost" fld="15" baseField="17" baseItem="1" numFmtId="166"/>
  </dataFields>
  <formats count="9">
    <format dxfId="9">
      <pivotArea dataOnly="0" outline="0" fieldPosition="0">
        <references count="1">
          <reference field="9" count="0" defaultSubtotal="1"/>
        </references>
      </pivotArea>
    </format>
    <format dxfId="10">
      <pivotArea dataOnly="0" outline="0" fieldPosition="0">
        <references count="1">
          <reference field="17" count="0" defaultSubtotal="1"/>
        </references>
      </pivotArea>
    </format>
    <format dxfId="11">
      <pivotArea outline="0" fieldPosition="0">
        <references count="1">
          <reference field="4294967294" count="1">
            <x v="0"/>
          </reference>
        </references>
      </pivotArea>
    </format>
    <format dxfId="12">
      <pivotArea outline="0" fieldPosition="0">
        <references count="1">
          <reference field="4294967294" count="1">
            <x v="1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4">
      <pivotArea outline="0" collapsedLevelsAreSubtotals="1" fieldPosition="0">
        <references count="5">
          <reference field="0" count="1" selected="0">
            <x v="4"/>
          </reference>
          <reference field="9" count="1" selected="0">
            <x v="21"/>
          </reference>
          <reference field="10" count="1" selected="0">
            <x v="35"/>
          </reference>
          <reference field="14" count="1" selected="0">
            <x v="25"/>
          </reference>
          <reference field="17" count="1" selected="0">
            <x v="1"/>
          </reference>
        </references>
      </pivotArea>
    </format>
    <format dxfId="15">
      <pivotArea dataOnly="0" labelOnly="1" fieldPosition="0">
        <references count="3">
          <reference field="9" count="1" selected="0">
            <x v="21"/>
          </reference>
          <reference field="10" count="1">
            <x v="35"/>
          </reference>
          <reference field="17" count="1" selected="0">
            <x v="1"/>
          </reference>
        </references>
      </pivotArea>
    </format>
    <format dxfId="16">
      <pivotArea dataOnly="0" labelOnly="1" fieldPosition="0">
        <references count="4">
          <reference field="0" count="1">
            <x v="4"/>
          </reference>
          <reference field="9" count="1" selected="0">
            <x v="21"/>
          </reference>
          <reference field="10" count="1" selected="0">
            <x v="35"/>
          </reference>
          <reference field="17" count="1" selected="0">
            <x v="1"/>
          </reference>
        </references>
      </pivotArea>
    </format>
    <format dxfId="17">
      <pivotArea dataOnly="0" labelOnly="1" fieldPosition="0">
        <references count="5">
          <reference field="0" count="1" selected="0">
            <x v="4"/>
          </reference>
          <reference field="9" count="1" selected="0">
            <x v="21"/>
          </reference>
          <reference field="10" count="1" selected="0">
            <x v="35"/>
          </reference>
          <reference field="14" count="1">
            <x v="25"/>
          </reference>
          <reference field="17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5" xr16:uid="{FDA52147-E7BB-4908-B49F-E54E81C8E783}" autoFormatId="16" applyNumberFormats="0" applyBorderFormats="0" applyFontFormats="0" applyPatternFormats="0" applyAlignmentFormats="0" applyWidthHeightFormats="0">
  <queryTableRefresh nextId="25">
    <queryTableFields count="18">
      <queryTableField id="1" name="FunnelID" tableColumnId="1"/>
      <queryTableField id="2" name="Work Date" tableColumnId="2"/>
      <queryTableField id="3" name="Date TimeSheet" tableColumnId="3"/>
      <queryTableField id="4" name="CCID" tableColumnId="4"/>
      <queryTableField id="5" name="Year" tableColumnId="5"/>
      <queryTableField id="6" name="Month" tableColumnId="6"/>
      <queryTableField id="7" name="Day" tableColumnId="7"/>
      <queryTableField id="8" name="Week" tableColumnId="8"/>
      <queryTableField id="9" name="Time Actual" tableColumnId="9"/>
      <queryTableField id="10" name="Company" tableColumnId="10"/>
      <queryTableField id="11" name="Resource Name" tableColumnId="11"/>
      <queryTableField id="12" name="Role" tableColumnId="12"/>
      <queryTableField id="13" name="Comments" tableColumnId="13"/>
      <queryTableField id="14" name="CostRate" tableColumnId="14"/>
      <queryTableField id="21" dataBound="0" tableColumnId="21"/>
      <queryTableField id="23" dataBound="0" tableColumnId="23"/>
      <queryTableField id="16" name="Customer Name" tableColumnId="16"/>
      <queryTableField id="17" name="Invoiced Date" tableColumnId="17"/>
    </queryTableFields>
    <queryTableDeletedFields count="2">
      <deletedField name="Invoice Number"/>
      <deletedField name="BillingRa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DDBA19C-17F4-41C4-A164-C102CE1E3509}" name="ApprovedTimeReport_001_2024115__1" displayName="ApprovedTimeReport_001_2024115__1" ref="A1:R33" tableType="queryTable" totalsRowCount="1">
  <autoFilter ref="A1:R32" xr:uid="{5DDBA19C-17F4-41C4-A164-C102CE1E3509}"/>
  <sortState xmlns:xlrd2="http://schemas.microsoft.com/office/spreadsheetml/2017/richdata2" ref="A2:R32">
    <sortCondition ref="Q2:Q32"/>
    <sortCondition ref="A2:A32"/>
  </sortState>
  <tableColumns count="18">
    <tableColumn id="1" xr3:uid="{B4F924D5-9852-4A0A-862F-5F1944D3F649}" uniqueName="1" name="FunnelID" queryTableFieldId="1" dataDxfId="42" totalsRowDxfId="41"/>
    <tableColumn id="2" xr3:uid="{6CEADBC8-1B81-449E-9A84-AEF1E30351F1}" uniqueName="2" name="Work Date" queryTableFieldId="2" dataDxfId="40" totalsRowDxfId="39"/>
    <tableColumn id="3" xr3:uid="{03248619-38C9-444E-9349-8F2823944BCD}" uniqueName="3" name="Date TimeSheet" queryTableFieldId="3" dataDxfId="38" totalsRowDxfId="37"/>
    <tableColumn id="4" xr3:uid="{9ABF8B7A-DBFC-4F5B-B1FD-07F93BABC843}" uniqueName="4" name="CCID" queryTableFieldId="4" dataDxfId="36" totalsRowDxfId="35"/>
    <tableColumn id="5" xr3:uid="{BA147808-93FB-47F3-90D7-C37BF8E6D0C6}" uniqueName="5" name="Year" queryTableFieldId="5"/>
    <tableColumn id="6" xr3:uid="{81177013-7E27-4898-8F87-ADBBD948DE1C}" uniqueName="6" name="Month" queryTableFieldId="6"/>
    <tableColumn id="7" xr3:uid="{69371776-C3AC-4EAE-AD96-FD2479833390}" uniqueName="7" name="Day" queryTableFieldId="7"/>
    <tableColumn id="8" xr3:uid="{05A7A740-40E4-4878-B0C1-73C68BD6B4EA}" uniqueName="8" name="Week" queryTableFieldId="8"/>
    <tableColumn id="9" xr3:uid="{B02584B1-3C77-4AB9-8CE3-B1E36A05FA3B}" uniqueName="9" name="Time Actual" queryTableFieldId="9" totalsRowDxfId="34" dataCellStyle="Vírgula"/>
    <tableColumn id="10" xr3:uid="{FC2B1F3F-7492-4812-915E-9CA68C617B9D}" uniqueName="10" name="Company" queryTableFieldId="10" dataDxfId="33" totalsRowDxfId="32"/>
    <tableColumn id="11" xr3:uid="{AE21DB22-2D1D-4AC7-A305-8D773046A282}" uniqueName="11" name="Resource Name" queryTableFieldId="11" dataDxfId="31" totalsRowDxfId="30"/>
    <tableColumn id="12" xr3:uid="{B4C0111A-E180-46EB-B159-6848ABD80B48}" uniqueName="12" name="Role" queryTableFieldId="12" dataDxfId="29" totalsRowDxfId="28"/>
    <tableColumn id="13" xr3:uid="{F941D4EB-0948-45F6-AE1B-057EDD89BD74}" uniqueName="13" name="Comments" queryTableFieldId="13" dataDxfId="27" totalsRowDxfId="26"/>
    <tableColumn id="14" xr3:uid="{E4A38295-A110-4477-97CB-FFD076E5F95F}" uniqueName="14" name="CostRate" queryTableFieldId="14" totalsRowDxfId="25" dataCellStyle="Vírgula"/>
    <tableColumn id="21" xr3:uid="{427190EE-EEA5-4DE5-ABF9-8B9E8CB4A38B}" uniqueName="21" name="CostRate w/ Taxes" queryTableFieldId="21" dataDxfId="24" totalsRowDxfId="23" dataCellStyle="Vírgula">
      <calculatedColumnFormula>ApprovedTimeReport_001_2024115__1[[#This Row],[CostRate]]/0.9075</calculatedColumnFormula>
    </tableColumn>
    <tableColumn id="23" xr3:uid="{973D1ACE-C58E-4C10-833B-0970BD4077C3}" uniqueName="23" name="Total Cost" queryTableFieldId="23" totalsRowDxfId="22" dataCellStyle="Vírgula">
      <calculatedColumnFormula>ApprovedTimeReport_001_2024115__1[[#This Row],[CostRate w/ Taxes]]*ApprovedTimeReport_001_2024115__1[[#This Row],[Time Actual]]</calculatedColumnFormula>
    </tableColumn>
    <tableColumn id="16" xr3:uid="{11E04F95-39C4-4209-9623-F7BEC701F827}" uniqueName="16" name="Customer Name" queryTableFieldId="16" dataDxfId="21" totalsRowDxfId="20"/>
    <tableColumn id="17" xr3:uid="{F40E11D8-9873-4555-9EE4-4616EB20619F}" uniqueName="17" name="Project Type" queryTableFieldId="17" dataDxfId="19" totalsRowDxf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AAE05-8563-4A91-9027-56C54EAF3591}">
  <dimension ref="A3:H293"/>
  <sheetViews>
    <sheetView tabSelected="1" zoomScale="90" zoomScaleNormal="90" workbookViewId="0">
      <selection activeCell="G15" sqref="G15:H15"/>
    </sheetView>
  </sheetViews>
  <sheetFormatPr defaultRowHeight="15" x14ac:dyDescent="0.25"/>
  <cols>
    <col min="1" max="1" width="18.42578125" bestFit="1" customWidth="1"/>
    <col min="2" max="2" width="14.42578125" bestFit="1" customWidth="1"/>
    <col min="3" max="3" width="17.7109375" bestFit="1" customWidth="1"/>
    <col min="4" max="4" width="25.85546875" bestFit="1" customWidth="1"/>
    <col min="5" max="5" width="20.140625" style="3" bestFit="1" customWidth="1"/>
    <col min="6" max="6" width="19.85546875" bestFit="1" customWidth="1"/>
    <col min="7" max="7" width="18.5703125" bestFit="1" customWidth="1"/>
  </cols>
  <sheetData>
    <row r="3" spans="1:8" x14ac:dyDescent="0.25">
      <c r="A3" s="7" t="s">
        <v>181</v>
      </c>
      <c r="B3" s="7" t="s">
        <v>117</v>
      </c>
      <c r="C3" s="7" t="s">
        <v>10</v>
      </c>
      <c r="D3" s="7" t="s">
        <v>0</v>
      </c>
      <c r="E3" s="7" t="s">
        <v>115</v>
      </c>
      <c r="F3" t="s">
        <v>183</v>
      </c>
      <c r="G3" t="s">
        <v>188</v>
      </c>
    </row>
    <row r="4" spans="1:8" x14ac:dyDescent="0.25">
      <c r="A4" t="s">
        <v>47</v>
      </c>
      <c r="B4" t="s">
        <v>119</v>
      </c>
      <c r="C4" t="s">
        <v>48</v>
      </c>
      <c r="D4" t="s">
        <v>38</v>
      </c>
      <c r="E4">
        <v>173.00275482093664</v>
      </c>
      <c r="F4" s="9">
        <v>1</v>
      </c>
      <c r="G4" s="12">
        <v>173.00275482093664</v>
      </c>
    </row>
    <row r="5" spans="1:8" x14ac:dyDescent="0.25">
      <c r="D5" t="s">
        <v>29</v>
      </c>
      <c r="E5">
        <v>173.00275482093664</v>
      </c>
      <c r="F5" s="9">
        <v>3</v>
      </c>
      <c r="G5" s="12">
        <v>519.00826446280996</v>
      </c>
    </row>
    <row r="6" spans="1:8" x14ac:dyDescent="0.25">
      <c r="D6" t="s">
        <v>53</v>
      </c>
      <c r="E6">
        <v>173.00275482093664</v>
      </c>
      <c r="F6" s="9">
        <v>1</v>
      </c>
      <c r="G6" s="12">
        <v>173.00275482093664</v>
      </c>
    </row>
    <row r="7" spans="1:8" x14ac:dyDescent="0.25">
      <c r="B7" s="8" t="s">
        <v>187</v>
      </c>
      <c r="C7" s="8"/>
      <c r="D7" s="8"/>
      <c r="E7" s="8"/>
      <c r="F7" s="11">
        <v>5</v>
      </c>
      <c r="G7" s="13">
        <v>865.01377410468319</v>
      </c>
      <c r="H7" t="s">
        <v>189</v>
      </c>
    </row>
    <row r="8" spans="1:8" x14ac:dyDescent="0.25">
      <c r="B8" t="s">
        <v>126</v>
      </c>
      <c r="C8" t="s">
        <v>48</v>
      </c>
      <c r="D8" t="s">
        <v>60</v>
      </c>
      <c r="E8">
        <v>173.00275482093664</v>
      </c>
      <c r="F8" s="9">
        <v>1</v>
      </c>
      <c r="G8" s="12">
        <v>173.00275482093664</v>
      </c>
    </row>
    <row r="9" spans="1:8" x14ac:dyDescent="0.25">
      <c r="B9" s="8" t="s">
        <v>186</v>
      </c>
      <c r="C9" s="8"/>
      <c r="D9" s="8"/>
      <c r="E9" s="8"/>
      <c r="F9" s="11">
        <v>1</v>
      </c>
      <c r="G9" s="13">
        <v>173.00275482093664</v>
      </c>
      <c r="H9" t="s">
        <v>190</v>
      </c>
    </row>
    <row r="10" spans="1:8" x14ac:dyDescent="0.25">
      <c r="B10" t="s">
        <v>124</v>
      </c>
      <c r="C10" t="s">
        <v>48</v>
      </c>
      <c r="D10" t="s">
        <v>61</v>
      </c>
      <c r="E10">
        <v>173.00275482093664</v>
      </c>
      <c r="F10" s="9">
        <v>4</v>
      </c>
      <c r="G10" s="12">
        <v>692.01101928374658</v>
      </c>
    </row>
    <row r="11" spans="1:8" x14ac:dyDescent="0.25">
      <c r="D11" t="s">
        <v>26</v>
      </c>
      <c r="E11">
        <v>95.239669421487619</v>
      </c>
      <c r="F11" s="9">
        <v>27</v>
      </c>
      <c r="G11" s="12">
        <v>2571.4710743801656</v>
      </c>
    </row>
    <row r="12" spans="1:8" x14ac:dyDescent="0.25">
      <c r="E12">
        <v>110</v>
      </c>
      <c r="F12" s="9">
        <v>117</v>
      </c>
      <c r="G12" s="12">
        <v>12870</v>
      </c>
    </row>
    <row r="13" spans="1:8" x14ac:dyDescent="0.25">
      <c r="D13" t="s">
        <v>28</v>
      </c>
      <c r="E13">
        <v>110</v>
      </c>
      <c r="F13" s="9">
        <v>6</v>
      </c>
      <c r="G13" s="12">
        <v>660</v>
      </c>
    </row>
    <row r="14" spans="1:8" x14ac:dyDescent="0.25">
      <c r="D14" t="s">
        <v>75</v>
      </c>
      <c r="E14">
        <v>95.239669421487619</v>
      </c>
      <c r="F14" s="9">
        <v>2</v>
      </c>
      <c r="G14" s="12">
        <v>190.47933884297524</v>
      </c>
    </row>
    <row r="15" spans="1:8" x14ac:dyDescent="0.25">
      <c r="B15" s="8" t="s">
        <v>185</v>
      </c>
      <c r="C15" s="8"/>
      <c r="D15" s="8"/>
      <c r="E15" s="8"/>
      <c r="F15" s="11">
        <v>156</v>
      </c>
      <c r="G15" s="13">
        <v>16983.961432506887</v>
      </c>
      <c r="H15" t="s">
        <v>191</v>
      </c>
    </row>
    <row r="16" spans="1:8" x14ac:dyDescent="0.25">
      <c r="A16" s="4" t="s">
        <v>184</v>
      </c>
      <c r="B16" s="4"/>
      <c r="C16" s="4"/>
      <c r="D16" s="4"/>
      <c r="E16" s="4"/>
      <c r="F16" s="10">
        <v>162</v>
      </c>
      <c r="G16" s="14">
        <v>18021.977961432509</v>
      </c>
    </row>
    <row r="17" spans="1:7" x14ac:dyDescent="0.25">
      <c r="A17" t="s">
        <v>182</v>
      </c>
      <c r="E17"/>
      <c r="F17" s="9">
        <v>162</v>
      </c>
      <c r="G17" s="12">
        <v>18021.977961432509</v>
      </c>
    </row>
    <row r="18" spans="1:7" x14ac:dyDescent="0.25">
      <c r="E18"/>
    </row>
    <row r="19" spans="1:7" x14ac:dyDescent="0.25">
      <c r="E19"/>
    </row>
    <row r="20" spans="1:7" x14ac:dyDescent="0.25">
      <c r="E20"/>
    </row>
    <row r="21" spans="1:7" x14ac:dyDescent="0.25">
      <c r="E21"/>
    </row>
    <row r="22" spans="1:7" x14ac:dyDescent="0.25">
      <c r="E22"/>
    </row>
    <row r="23" spans="1:7" x14ac:dyDescent="0.25">
      <c r="E23"/>
    </row>
    <row r="24" spans="1:7" x14ac:dyDescent="0.25">
      <c r="E24"/>
    </row>
    <row r="25" spans="1:7" x14ac:dyDescent="0.25">
      <c r="E25"/>
    </row>
    <row r="26" spans="1:7" x14ac:dyDescent="0.25">
      <c r="E26"/>
    </row>
    <row r="27" spans="1:7" x14ac:dyDescent="0.25">
      <c r="E27"/>
    </row>
    <row r="28" spans="1:7" x14ac:dyDescent="0.25">
      <c r="E28"/>
    </row>
    <row r="29" spans="1:7" x14ac:dyDescent="0.25">
      <c r="E29"/>
    </row>
    <row r="30" spans="1:7" x14ac:dyDescent="0.25">
      <c r="E30"/>
    </row>
    <row r="31" spans="1:7" x14ac:dyDescent="0.25">
      <c r="E31"/>
    </row>
    <row r="32" spans="1:7" x14ac:dyDescent="0.25">
      <c r="E32"/>
    </row>
    <row r="33" spans="5:5" x14ac:dyDescent="0.25">
      <c r="E33"/>
    </row>
    <row r="34" spans="5:5" x14ac:dyDescent="0.25">
      <c r="E34"/>
    </row>
    <row r="35" spans="5:5" x14ac:dyDescent="0.25">
      <c r="E35"/>
    </row>
    <row r="36" spans="5:5" x14ac:dyDescent="0.25">
      <c r="E36"/>
    </row>
    <row r="37" spans="5:5" x14ac:dyDescent="0.25">
      <c r="E37"/>
    </row>
    <row r="38" spans="5:5" x14ac:dyDescent="0.25">
      <c r="E38"/>
    </row>
    <row r="39" spans="5:5" x14ac:dyDescent="0.25">
      <c r="E39"/>
    </row>
    <row r="40" spans="5:5" x14ac:dyDescent="0.25">
      <c r="E40"/>
    </row>
    <row r="41" spans="5:5" x14ac:dyDescent="0.25">
      <c r="E41"/>
    </row>
    <row r="42" spans="5:5" x14ac:dyDescent="0.25">
      <c r="E42"/>
    </row>
    <row r="43" spans="5:5" x14ac:dyDescent="0.25">
      <c r="E43"/>
    </row>
    <row r="44" spans="5:5" x14ac:dyDescent="0.25">
      <c r="E44"/>
    </row>
    <row r="45" spans="5:5" x14ac:dyDescent="0.25">
      <c r="E45"/>
    </row>
    <row r="46" spans="5:5" x14ac:dyDescent="0.25">
      <c r="E46"/>
    </row>
    <row r="47" spans="5:5" x14ac:dyDescent="0.25">
      <c r="E47"/>
    </row>
    <row r="48" spans="5:5" x14ac:dyDescent="0.25">
      <c r="E48"/>
    </row>
    <row r="49" spans="5:5" x14ac:dyDescent="0.25">
      <c r="E49"/>
    </row>
    <row r="50" spans="5:5" x14ac:dyDescent="0.25">
      <c r="E50"/>
    </row>
    <row r="51" spans="5:5" x14ac:dyDescent="0.25">
      <c r="E51"/>
    </row>
    <row r="52" spans="5:5" x14ac:dyDescent="0.25">
      <c r="E52"/>
    </row>
    <row r="53" spans="5:5" x14ac:dyDescent="0.25">
      <c r="E53"/>
    </row>
    <row r="54" spans="5:5" x14ac:dyDescent="0.25">
      <c r="E54"/>
    </row>
    <row r="55" spans="5:5" x14ac:dyDescent="0.25">
      <c r="E55"/>
    </row>
    <row r="56" spans="5:5" x14ac:dyDescent="0.25">
      <c r="E56"/>
    </row>
    <row r="57" spans="5:5" x14ac:dyDescent="0.25">
      <c r="E57"/>
    </row>
    <row r="58" spans="5:5" x14ac:dyDescent="0.25">
      <c r="E58"/>
    </row>
    <row r="59" spans="5:5" x14ac:dyDescent="0.25">
      <c r="E59"/>
    </row>
    <row r="60" spans="5:5" x14ac:dyDescent="0.25">
      <c r="E60"/>
    </row>
    <row r="61" spans="5:5" x14ac:dyDescent="0.25">
      <c r="E61"/>
    </row>
    <row r="62" spans="5:5" x14ac:dyDescent="0.25">
      <c r="E62"/>
    </row>
    <row r="63" spans="5:5" x14ac:dyDescent="0.25">
      <c r="E63"/>
    </row>
    <row r="64" spans="5:5" x14ac:dyDescent="0.25">
      <c r="E64"/>
    </row>
    <row r="65" spans="5:5" x14ac:dyDescent="0.25">
      <c r="E65"/>
    </row>
    <row r="66" spans="5:5" x14ac:dyDescent="0.25">
      <c r="E66"/>
    </row>
    <row r="67" spans="5:5" x14ac:dyDescent="0.25">
      <c r="E67"/>
    </row>
    <row r="68" spans="5:5" x14ac:dyDescent="0.25">
      <c r="E68"/>
    </row>
    <row r="69" spans="5:5" x14ac:dyDescent="0.25">
      <c r="E69"/>
    </row>
    <row r="70" spans="5:5" x14ac:dyDescent="0.25">
      <c r="E70"/>
    </row>
    <row r="71" spans="5:5" x14ac:dyDescent="0.25">
      <c r="E71"/>
    </row>
    <row r="72" spans="5:5" x14ac:dyDescent="0.25">
      <c r="E72"/>
    </row>
    <row r="73" spans="5:5" x14ac:dyDescent="0.25">
      <c r="E73"/>
    </row>
    <row r="74" spans="5:5" x14ac:dyDescent="0.25">
      <c r="E74"/>
    </row>
    <row r="75" spans="5:5" x14ac:dyDescent="0.25">
      <c r="E75"/>
    </row>
    <row r="76" spans="5:5" x14ac:dyDescent="0.25">
      <c r="E76"/>
    </row>
    <row r="77" spans="5:5" x14ac:dyDescent="0.25">
      <c r="E77"/>
    </row>
    <row r="78" spans="5:5" x14ac:dyDescent="0.25">
      <c r="E78"/>
    </row>
    <row r="79" spans="5:5" x14ac:dyDescent="0.25">
      <c r="E79"/>
    </row>
    <row r="80" spans="5:5" x14ac:dyDescent="0.25">
      <c r="E80"/>
    </row>
    <row r="81" spans="5:5" x14ac:dyDescent="0.25">
      <c r="E81"/>
    </row>
    <row r="82" spans="5:5" x14ac:dyDescent="0.25">
      <c r="E82"/>
    </row>
    <row r="83" spans="5:5" x14ac:dyDescent="0.25">
      <c r="E83"/>
    </row>
    <row r="84" spans="5:5" x14ac:dyDescent="0.25">
      <c r="E84"/>
    </row>
    <row r="85" spans="5:5" x14ac:dyDescent="0.25">
      <c r="E85"/>
    </row>
    <row r="86" spans="5:5" x14ac:dyDescent="0.25">
      <c r="E86"/>
    </row>
    <row r="87" spans="5:5" x14ac:dyDescent="0.25">
      <c r="E87"/>
    </row>
    <row r="88" spans="5:5" x14ac:dyDescent="0.25">
      <c r="E88"/>
    </row>
    <row r="89" spans="5:5" x14ac:dyDescent="0.25">
      <c r="E89"/>
    </row>
    <row r="90" spans="5:5" x14ac:dyDescent="0.25">
      <c r="E90"/>
    </row>
    <row r="91" spans="5:5" x14ac:dyDescent="0.25">
      <c r="E91"/>
    </row>
    <row r="92" spans="5:5" x14ac:dyDescent="0.25">
      <c r="E92"/>
    </row>
    <row r="93" spans="5:5" x14ac:dyDescent="0.25">
      <c r="E93"/>
    </row>
    <row r="94" spans="5:5" x14ac:dyDescent="0.25">
      <c r="E94"/>
    </row>
    <row r="95" spans="5:5" x14ac:dyDescent="0.25">
      <c r="E95"/>
    </row>
    <row r="96" spans="5:5" x14ac:dyDescent="0.25">
      <c r="E96"/>
    </row>
    <row r="97" spans="5:5" x14ac:dyDescent="0.25">
      <c r="E97"/>
    </row>
    <row r="98" spans="5:5" x14ac:dyDescent="0.25">
      <c r="E98"/>
    </row>
    <row r="99" spans="5:5" x14ac:dyDescent="0.25">
      <c r="E99"/>
    </row>
    <row r="100" spans="5:5" x14ac:dyDescent="0.25">
      <c r="E100"/>
    </row>
    <row r="101" spans="5:5" x14ac:dyDescent="0.25">
      <c r="E101"/>
    </row>
    <row r="102" spans="5:5" x14ac:dyDescent="0.25">
      <c r="E102"/>
    </row>
    <row r="103" spans="5:5" x14ac:dyDescent="0.25">
      <c r="E103"/>
    </row>
    <row r="104" spans="5:5" x14ac:dyDescent="0.25">
      <c r="E104"/>
    </row>
    <row r="105" spans="5:5" x14ac:dyDescent="0.25">
      <c r="E105"/>
    </row>
    <row r="106" spans="5:5" x14ac:dyDescent="0.25">
      <c r="E106"/>
    </row>
    <row r="107" spans="5:5" x14ac:dyDescent="0.25">
      <c r="E107"/>
    </row>
    <row r="108" spans="5:5" x14ac:dyDescent="0.25">
      <c r="E108"/>
    </row>
    <row r="109" spans="5:5" x14ac:dyDescent="0.25">
      <c r="E109"/>
    </row>
    <row r="110" spans="5:5" x14ac:dyDescent="0.25">
      <c r="E110"/>
    </row>
    <row r="111" spans="5:5" x14ac:dyDescent="0.25">
      <c r="E111"/>
    </row>
    <row r="112" spans="5:5" x14ac:dyDescent="0.25">
      <c r="E112"/>
    </row>
    <row r="113" spans="5:5" x14ac:dyDescent="0.25">
      <c r="E113"/>
    </row>
    <row r="114" spans="5:5" x14ac:dyDescent="0.25">
      <c r="E114"/>
    </row>
    <row r="115" spans="5:5" x14ac:dyDescent="0.25">
      <c r="E115"/>
    </row>
    <row r="116" spans="5:5" x14ac:dyDescent="0.25">
      <c r="E116"/>
    </row>
    <row r="117" spans="5:5" x14ac:dyDescent="0.25">
      <c r="E117"/>
    </row>
    <row r="118" spans="5:5" x14ac:dyDescent="0.25">
      <c r="E118"/>
    </row>
    <row r="119" spans="5:5" x14ac:dyDescent="0.25">
      <c r="E119"/>
    </row>
    <row r="120" spans="5:5" x14ac:dyDescent="0.25">
      <c r="E120"/>
    </row>
    <row r="121" spans="5:5" x14ac:dyDescent="0.25">
      <c r="E121"/>
    </row>
    <row r="122" spans="5:5" x14ac:dyDescent="0.25">
      <c r="E122"/>
    </row>
    <row r="123" spans="5:5" x14ac:dyDescent="0.25">
      <c r="E123"/>
    </row>
    <row r="124" spans="5:5" x14ac:dyDescent="0.25">
      <c r="E124"/>
    </row>
    <row r="125" spans="5:5" x14ac:dyDescent="0.25">
      <c r="E125"/>
    </row>
    <row r="126" spans="5:5" x14ac:dyDescent="0.25">
      <c r="E126"/>
    </row>
    <row r="127" spans="5:5" x14ac:dyDescent="0.25">
      <c r="E127"/>
    </row>
    <row r="128" spans="5:5" x14ac:dyDescent="0.25">
      <c r="E128"/>
    </row>
    <row r="129" spans="5:5" x14ac:dyDescent="0.25">
      <c r="E129"/>
    </row>
    <row r="130" spans="5:5" x14ac:dyDescent="0.25">
      <c r="E130"/>
    </row>
    <row r="131" spans="5:5" x14ac:dyDescent="0.25">
      <c r="E131"/>
    </row>
    <row r="132" spans="5:5" x14ac:dyDescent="0.25">
      <c r="E132"/>
    </row>
    <row r="133" spans="5:5" x14ac:dyDescent="0.25">
      <c r="E133"/>
    </row>
    <row r="134" spans="5:5" x14ac:dyDescent="0.25">
      <c r="E134"/>
    </row>
    <row r="135" spans="5:5" x14ac:dyDescent="0.25">
      <c r="E135"/>
    </row>
    <row r="136" spans="5:5" x14ac:dyDescent="0.25">
      <c r="E136"/>
    </row>
    <row r="137" spans="5:5" x14ac:dyDescent="0.25">
      <c r="E137"/>
    </row>
    <row r="138" spans="5:5" x14ac:dyDescent="0.25">
      <c r="E138"/>
    </row>
    <row r="139" spans="5:5" x14ac:dyDescent="0.25">
      <c r="E139"/>
    </row>
    <row r="140" spans="5:5" x14ac:dyDescent="0.25">
      <c r="E140"/>
    </row>
    <row r="141" spans="5:5" x14ac:dyDescent="0.25">
      <c r="E141"/>
    </row>
    <row r="142" spans="5:5" x14ac:dyDescent="0.25">
      <c r="E142"/>
    </row>
    <row r="143" spans="5:5" x14ac:dyDescent="0.25">
      <c r="E143"/>
    </row>
    <row r="144" spans="5:5" x14ac:dyDescent="0.25">
      <c r="E144"/>
    </row>
    <row r="145" spans="5:5" x14ac:dyDescent="0.25">
      <c r="E145"/>
    </row>
    <row r="146" spans="5:5" x14ac:dyDescent="0.25">
      <c r="E146"/>
    </row>
    <row r="147" spans="5:5" x14ac:dyDescent="0.25">
      <c r="E147"/>
    </row>
    <row r="148" spans="5:5" x14ac:dyDescent="0.25">
      <c r="E148"/>
    </row>
    <row r="149" spans="5:5" x14ac:dyDescent="0.25">
      <c r="E149"/>
    </row>
    <row r="150" spans="5:5" x14ac:dyDescent="0.25">
      <c r="E150"/>
    </row>
    <row r="151" spans="5:5" x14ac:dyDescent="0.25">
      <c r="E151"/>
    </row>
    <row r="152" spans="5:5" x14ac:dyDescent="0.25">
      <c r="E152"/>
    </row>
    <row r="153" spans="5:5" x14ac:dyDescent="0.25">
      <c r="E153"/>
    </row>
    <row r="154" spans="5:5" x14ac:dyDescent="0.25">
      <c r="E154"/>
    </row>
    <row r="155" spans="5:5" x14ac:dyDescent="0.25">
      <c r="E155"/>
    </row>
    <row r="156" spans="5:5" x14ac:dyDescent="0.25">
      <c r="E156"/>
    </row>
    <row r="157" spans="5:5" x14ac:dyDescent="0.25">
      <c r="E157"/>
    </row>
    <row r="158" spans="5:5" x14ac:dyDescent="0.25">
      <c r="E158"/>
    </row>
    <row r="159" spans="5:5" x14ac:dyDescent="0.25">
      <c r="E159"/>
    </row>
    <row r="160" spans="5:5" x14ac:dyDescent="0.25">
      <c r="E160"/>
    </row>
    <row r="161" spans="5:5" x14ac:dyDescent="0.25">
      <c r="E161"/>
    </row>
    <row r="162" spans="5:5" x14ac:dyDescent="0.25">
      <c r="E162"/>
    </row>
    <row r="163" spans="5:5" x14ac:dyDescent="0.25">
      <c r="E163"/>
    </row>
    <row r="164" spans="5:5" x14ac:dyDescent="0.25">
      <c r="E164"/>
    </row>
    <row r="165" spans="5:5" x14ac:dyDescent="0.25">
      <c r="E165"/>
    </row>
    <row r="166" spans="5:5" x14ac:dyDescent="0.25">
      <c r="E166"/>
    </row>
    <row r="167" spans="5:5" x14ac:dyDescent="0.25">
      <c r="E167"/>
    </row>
    <row r="168" spans="5:5" x14ac:dyDescent="0.25">
      <c r="E168"/>
    </row>
    <row r="169" spans="5:5" x14ac:dyDescent="0.25">
      <c r="E169"/>
    </row>
    <row r="170" spans="5:5" x14ac:dyDescent="0.25">
      <c r="E170"/>
    </row>
    <row r="171" spans="5:5" x14ac:dyDescent="0.25">
      <c r="E171"/>
    </row>
    <row r="172" spans="5:5" x14ac:dyDescent="0.25">
      <c r="E172"/>
    </row>
    <row r="173" spans="5:5" x14ac:dyDescent="0.25">
      <c r="E173"/>
    </row>
    <row r="174" spans="5:5" x14ac:dyDescent="0.25">
      <c r="E174"/>
    </row>
    <row r="175" spans="5:5" x14ac:dyDescent="0.25">
      <c r="E175"/>
    </row>
    <row r="176" spans="5:5" x14ac:dyDescent="0.25">
      <c r="E176"/>
    </row>
    <row r="177" spans="5:5" x14ac:dyDescent="0.25">
      <c r="E177"/>
    </row>
    <row r="178" spans="5:5" x14ac:dyDescent="0.25">
      <c r="E178"/>
    </row>
    <row r="179" spans="5:5" x14ac:dyDescent="0.25">
      <c r="E179"/>
    </row>
    <row r="180" spans="5:5" x14ac:dyDescent="0.25">
      <c r="E180"/>
    </row>
    <row r="181" spans="5:5" x14ac:dyDescent="0.25">
      <c r="E181"/>
    </row>
    <row r="182" spans="5:5" x14ac:dyDescent="0.25">
      <c r="E182"/>
    </row>
    <row r="183" spans="5:5" x14ac:dyDescent="0.25">
      <c r="E183"/>
    </row>
    <row r="184" spans="5:5" x14ac:dyDescent="0.25">
      <c r="E184"/>
    </row>
    <row r="185" spans="5:5" x14ac:dyDescent="0.25">
      <c r="E185"/>
    </row>
    <row r="186" spans="5:5" x14ac:dyDescent="0.25">
      <c r="E186"/>
    </row>
    <row r="187" spans="5:5" x14ac:dyDescent="0.25">
      <c r="E187"/>
    </row>
    <row r="188" spans="5:5" x14ac:dyDescent="0.25">
      <c r="E188"/>
    </row>
    <row r="189" spans="5:5" x14ac:dyDescent="0.25">
      <c r="E189"/>
    </row>
    <row r="190" spans="5:5" x14ac:dyDescent="0.25">
      <c r="E190"/>
    </row>
    <row r="191" spans="5:5" x14ac:dyDescent="0.25">
      <c r="E191"/>
    </row>
    <row r="192" spans="5:5" x14ac:dyDescent="0.25">
      <c r="E192"/>
    </row>
    <row r="193" spans="5:5" x14ac:dyDescent="0.25">
      <c r="E193"/>
    </row>
    <row r="194" spans="5:5" x14ac:dyDescent="0.25">
      <c r="E194"/>
    </row>
    <row r="195" spans="5:5" x14ac:dyDescent="0.25">
      <c r="E195"/>
    </row>
    <row r="196" spans="5:5" x14ac:dyDescent="0.25">
      <c r="E196"/>
    </row>
    <row r="197" spans="5:5" x14ac:dyDescent="0.25">
      <c r="E197"/>
    </row>
    <row r="198" spans="5:5" x14ac:dyDescent="0.25">
      <c r="E198"/>
    </row>
    <row r="199" spans="5:5" x14ac:dyDescent="0.25">
      <c r="E199"/>
    </row>
    <row r="200" spans="5:5" x14ac:dyDescent="0.25">
      <c r="E200"/>
    </row>
    <row r="201" spans="5:5" x14ac:dyDescent="0.25">
      <c r="E201"/>
    </row>
    <row r="202" spans="5:5" x14ac:dyDescent="0.25">
      <c r="E202"/>
    </row>
    <row r="203" spans="5:5" x14ac:dyDescent="0.25">
      <c r="E203"/>
    </row>
    <row r="204" spans="5:5" x14ac:dyDescent="0.25">
      <c r="E204"/>
    </row>
    <row r="205" spans="5:5" x14ac:dyDescent="0.25">
      <c r="E205"/>
    </row>
    <row r="206" spans="5:5" x14ac:dyDescent="0.25">
      <c r="E206"/>
    </row>
    <row r="207" spans="5:5" x14ac:dyDescent="0.25">
      <c r="E207"/>
    </row>
    <row r="208" spans="5:5" x14ac:dyDescent="0.25">
      <c r="E208"/>
    </row>
    <row r="209" spans="5:5" x14ac:dyDescent="0.25">
      <c r="E209"/>
    </row>
    <row r="210" spans="5:5" x14ac:dyDescent="0.25">
      <c r="E210"/>
    </row>
    <row r="211" spans="5:5" x14ac:dyDescent="0.25">
      <c r="E211"/>
    </row>
    <row r="212" spans="5:5" x14ac:dyDescent="0.25">
      <c r="E212"/>
    </row>
    <row r="213" spans="5:5" x14ac:dyDescent="0.25">
      <c r="E213"/>
    </row>
    <row r="214" spans="5:5" x14ac:dyDescent="0.25">
      <c r="E214"/>
    </row>
    <row r="215" spans="5:5" x14ac:dyDescent="0.25">
      <c r="E215"/>
    </row>
    <row r="216" spans="5:5" x14ac:dyDescent="0.25">
      <c r="E216"/>
    </row>
    <row r="217" spans="5:5" x14ac:dyDescent="0.25">
      <c r="E217"/>
    </row>
    <row r="218" spans="5:5" x14ac:dyDescent="0.25">
      <c r="E218"/>
    </row>
    <row r="219" spans="5:5" x14ac:dyDescent="0.25">
      <c r="E219"/>
    </row>
    <row r="220" spans="5:5" x14ac:dyDescent="0.25">
      <c r="E220"/>
    </row>
    <row r="221" spans="5:5" x14ac:dyDescent="0.25">
      <c r="E221"/>
    </row>
    <row r="222" spans="5:5" x14ac:dyDescent="0.25">
      <c r="E222"/>
    </row>
    <row r="223" spans="5:5" x14ac:dyDescent="0.25">
      <c r="E223"/>
    </row>
    <row r="224" spans="5:5" x14ac:dyDescent="0.25">
      <c r="E224"/>
    </row>
    <row r="225" spans="5:5" x14ac:dyDescent="0.25">
      <c r="E225"/>
    </row>
    <row r="226" spans="5:5" x14ac:dyDescent="0.25">
      <c r="E226"/>
    </row>
    <row r="227" spans="5:5" x14ac:dyDescent="0.25">
      <c r="E227"/>
    </row>
    <row r="228" spans="5:5" x14ac:dyDescent="0.25">
      <c r="E228"/>
    </row>
    <row r="229" spans="5:5" x14ac:dyDescent="0.25">
      <c r="E229"/>
    </row>
    <row r="230" spans="5:5" x14ac:dyDescent="0.25">
      <c r="E230"/>
    </row>
    <row r="231" spans="5:5" x14ac:dyDescent="0.25">
      <c r="E231"/>
    </row>
    <row r="232" spans="5:5" x14ac:dyDescent="0.25">
      <c r="E232"/>
    </row>
    <row r="233" spans="5:5" x14ac:dyDescent="0.25">
      <c r="E233"/>
    </row>
    <row r="234" spans="5:5" x14ac:dyDescent="0.25">
      <c r="E234"/>
    </row>
    <row r="235" spans="5:5" x14ac:dyDescent="0.25">
      <c r="E235"/>
    </row>
    <row r="236" spans="5:5" x14ac:dyDescent="0.25">
      <c r="E236"/>
    </row>
    <row r="237" spans="5:5" x14ac:dyDescent="0.25">
      <c r="E237"/>
    </row>
    <row r="238" spans="5:5" x14ac:dyDescent="0.25">
      <c r="E238"/>
    </row>
    <row r="239" spans="5:5" x14ac:dyDescent="0.25">
      <c r="E239"/>
    </row>
    <row r="240" spans="5:5" x14ac:dyDescent="0.25">
      <c r="E240"/>
    </row>
    <row r="241" spans="5:5" x14ac:dyDescent="0.25">
      <c r="E241"/>
    </row>
    <row r="242" spans="5:5" x14ac:dyDescent="0.25">
      <c r="E242"/>
    </row>
    <row r="243" spans="5:5" x14ac:dyDescent="0.25">
      <c r="E243"/>
    </row>
    <row r="244" spans="5:5" x14ac:dyDescent="0.25">
      <c r="E244"/>
    </row>
    <row r="245" spans="5:5" x14ac:dyDescent="0.25">
      <c r="E245"/>
    </row>
    <row r="246" spans="5:5" x14ac:dyDescent="0.25">
      <c r="E246"/>
    </row>
    <row r="247" spans="5:5" x14ac:dyDescent="0.25">
      <c r="E247"/>
    </row>
    <row r="248" spans="5:5" x14ac:dyDescent="0.25">
      <c r="E248"/>
    </row>
    <row r="249" spans="5:5" x14ac:dyDescent="0.25">
      <c r="E249"/>
    </row>
    <row r="250" spans="5:5" x14ac:dyDescent="0.25">
      <c r="E250"/>
    </row>
    <row r="251" spans="5:5" x14ac:dyDescent="0.25">
      <c r="E251"/>
    </row>
    <row r="252" spans="5:5" x14ac:dyDescent="0.25">
      <c r="E252"/>
    </row>
    <row r="253" spans="5:5" x14ac:dyDescent="0.25">
      <c r="E253"/>
    </row>
    <row r="254" spans="5:5" x14ac:dyDescent="0.25">
      <c r="E254"/>
    </row>
    <row r="255" spans="5:5" x14ac:dyDescent="0.25">
      <c r="E255"/>
    </row>
    <row r="256" spans="5:5" x14ac:dyDescent="0.25">
      <c r="E256"/>
    </row>
    <row r="257" spans="5:5" x14ac:dyDescent="0.25">
      <c r="E257"/>
    </row>
    <row r="258" spans="5:5" x14ac:dyDescent="0.25">
      <c r="E258"/>
    </row>
    <row r="259" spans="5:5" x14ac:dyDescent="0.25">
      <c r="E259"/>
    </row>
    <row r="260" spans="5:5" x14ac:dyDescent="0.25">
      <c r="E260"/>
    </row>
    <row r="261" spans="5:5" x14ac:dyDescent="0.25">
      <c r="E261"/>
    </row>
    <row r="262" spans="5:5" x14ac:dyDescent="0.25">
      <c r="E262"/>
    </row>
    <row r="263" spans="5:5" x14ac:dyDescent="0.25">
      <c r="E263"/>
    </row>
    <row r="264" spans="5:5" x14ac:dyDescent="0.25">
      <c r="E264"/>
    </row>
    <row r="265" spans="5:5" x14ac:dyDescent="0.25">
      <c r="E265"/>
    </row>
    <row r="266" spans="5:5" x14ac:dyDescent="0.25">
      <c r="E266"/>
    </row>
    <row r="267" spans="5:5" x14ac:dyDescent="0.25">
      <c r="E267"/>
    </row>
    <row r="268" spans="5:5" x14ac:dyDescent="0.25">
      <c r="E268"/>
    </row>
    <row r="269" spans="5:5" x14ac:dyDescent="0.25">
      <c r="E269"/>
    </row>
    <row r="270" spans="5:5" x14ac:dyDescent="0.25">
      <c r="E270"/>
    </row>
    <row r="271" spans="5:5" x14ac:dyDescent="0.25">
      <c r="E271"/>
    </row>
    <row r="272" spans="5:5" x14ac:dyDescent="0.25">
      <c r="E272"/>
    </row>
    <row r="273" spans="5:5" x14ac:dyDescent="0.25">
      <c r="E273"/>
    </row>
    <row r="274" spans="5:5" x14ac:dyDescent="0.25">
      <c r="E274"/>
    </row>
    <row r="275" spans="5:5" x14ac:dyDescent="0.25">
      <c r="E275"/>
    </row>
    <row r="276" spans="5:5" x14ac:dyDescent="0.25">
      <c r="E276"/>
    </row>
    <row r="277" spans="5:5" x14ac:dyDescent="0.25">
      <c r="E277"/>
    </row>
    <row r="278" spans="5:5" x14ac:dyDescent="0.25">
      <c r="E278"/>
    </row>
    <row r="279" spans="5:5" x14ac:dyDescent="0.25">
      <c r="E279"/>
    </row>
    <row r="280" spans="5:5" x14ac:dyDescent="0.25">
      <c r="E280"/>
    </row>
    <row r="281" spans="5:5" x14ac:dyDescent="0.25">
      <c r="E281"/>
    </row>
    <row r="282" spans="5:5" x14ac:dyDescent="0.25">
      <c r="E282"/>
    </row>
    <row r="283" spans="5:5" x14ac:dyDescent="0.25">
      <c r="E283"/>
    </row>
    <row r="284" spans="5:5" x14ac:dyDescent="0.25">
      <c r="E284"/>
    </row>
    <row r="285" spans="5:5" x14ac:dyDescent="0.25">
      <c r="E285"/>
    </row>
    <row r="286" spans="5:5" x14ac:dyDescent="0.25">
      <c r="E286"/>
    </row>
    <row r="287" spans="5:5" x14ac:dyDescent="0.25">
      <c r="E287"/>
    </row>
    <row r="288" spans="5:5" x14ac:dyDescent="0.25">
      <c r="E288"/>
    </row>
    <row r="289" spans="5:5" x14ac:dyDescent="0.25">
      <c r="E289"/>
    </row>
    <row r="290" spans="5:5" x14ac:dyDescent="0.25">
      <c r="E290"/>
    </row>
    <row r="291" spans="5:5" x14ac:dyDescent="0.25">
      <c r="E291"/>
    </row>
    <row r="292" spans="5:5" x14ac:dyDescent="0.25">
      <c r="E292"/>
    </row>
    <row r="293" spans="5:5" x14ac:dyDescent="0.25">
      <c r="E293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FC736-468F-4C20-9C4E-34FA17C8E69F}">
  <dimension ref="A1:R33"/>
  <sheetViews>
    <sheetView workbookViewId="0">
      <selection activeCell="A2" sqref="A2:XFD1369"/>
    </sheetView>
  </sheetViews>
  <sheetFormatPr defaultRowHeight="15" x14ac:dyDescent="0.25"/>
  <cols>
    <col min="1" max="1" width="22" bestFit="1" customWidth="1"/>
    <col min="2" max="2" width="11.7109375" customWidth="1"/>
    <col min="3" max="3" width="16.42578125" customWidth="1"/>
    <col min="4" max="4" width="7.42578125" customWidth="1"/>
    <col min="5" max="5" width="6.85546875" customWidth="1"/>
    <col min="6" max="6" width="8.28515625" customWidth="1"/>
    <col min="7" max="7" width="6.28515625" customWidth="1"/>
    <col min="8" max="8" width="7.85546875" customWidth="1"/>
    <col min="9" max="9" width="13" customWidth="1"/>
    <col min="10" max="10" width="25.7109375" customWidth="1"/>
    <col min="11" max="11" width="19.85546875" bestFit="1" customWidth="1"/>
    <col min="12" max="12" width="15.28515625" bestFit="1" customWidth="1"/>
    <col min="13" max="13" width="80.85546875" bestFit="1" customWidth="1"/>
    <col min="14" max="16" width="10.7109375" customWidth="1"/>
    <col min="17" max="17" width="32.7109375" bestFit="1" customWidth="1"/>
    <col min="18" max="18" width="14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115</v>
      </c>
      <c r="P1" t="s">
        <v>116</v>
      </c>
      <c r="Q1" t="s">
        <v>14</v>
      </c>
      <c r="R1" t="s">
        <v>117</v>
      </c>
    </row>
    <row r="2" spans="1:18" x14ac:dyDescent="0.25">
      <c r="A2" t="s">
        <v>29</v>
      </c>
      <c r="B2" s="1">
        <v>45624</v>
      </c>
      <c r="C2" s="1">
        <v>45628</v>
      </c>
      <c r="D2" t="s">
        <v>16</v>
      </c>
      <c r="E2">
        <v>2024</v>
      </c>
      <c r="F2">
        <v>11</v>
      </c>
      <c r="G2">
        <v>28</v>
      </c>
      <c r="H2">
        <v>48</v>
      </c>
      <c r="I2" s="3">
        <v>3</v>
      </c>
      <c r="J2" t="s">
        <v>47</v>
      </c>
      <c r="K2" t="s">
        <v>48</v>
      </c>
      <c r="L2" t="s">
        <v>24</v>
      </c>
      <c r="M2" t="s">
        <v>66</v>
      </c>
      <c r="N2" s="3">
        <v>157</v>
      </c>
      <c r="O2" s="3">
        <f>ApprovedTimeReport_001_2024115__1[[#This Row],[CostRate]]/0.9075</f>
        <v>173.00275482093664</v>
      </c>
      <c r="P2" s="3">
        <f>ApprovedTimeReport_001_2024115__1[[#This Row],[CostRate w/ Taxes]]*ApprovedTimeReport_001_2024115__1[[#This Row],[Time Actual]]</f>
        <v>519.00826446280996</v>
      </c>
      <c r="Q2" t="s">
        <v>30</v>
      </c>
      <c r="R2" s="2" t="str">
        <f>VLOOKUP(A:A,Vlookup!A:B,2,0)</f>
        <v>FF</v>
      </c>
    </row>
    <row r="3" spans="1:18" x14ac:dyDescent="0.25">
      <c r="A3" t="s">
        <v>61</v>
      </c>
      <c r="B3" s="1">
        <v>45624</v>
      </c>
      <c r="C3" s="1">
        <v>45628</v>
      </c>
      <c r="D3" t="s">
        <v>16</v>
      </c>
      <c r="E3">
        <v>2024</v>
      </c>
      <c r="F3">
        <v>11</v>
      </c>
      <c r="G3">
        <v>28</v>
      </c>
      <c r="H3">
        <v>48</v>
      </c>
      <c r="I3" s="3">
        <v>1</v>
      </c>
      <c r="J3" t="s">
        <v>47</v>
      </c>
      <c r="K3" t="s">
        <v>48</v>
      </c>
      <c r="L3" t="s">
        <v>17</v>
      </c>
      <c r="M3" t="s">
        <v>62</v>
      </c>
      <c r="N3" s="3">
        <v>157</v>
      </c>
      <c r="O3" s="3">
        <f>ApprovedTimeReport_001_2024115__1[[#This Row],[CostRate]]/0.9075</f>
        <v>173.00275482093664</v>
      </c>
      <c r="P3" s="3">
        <f>ApprovedTimeReport_001_2024115__1[[#This Row],[CostRate w/ Taxes]]*ApprovedTimeReport_001_2024115__1[[#This Row],[Time Actual]]</f>
        <v>173.00275482093664</v>
      </c>
      <c r="Q3" t="s">
        <v>30</v>
      </c>
      <c r="R3" s="2" t="str">
        <f>VLOOKUP(A:A,Vlookup!A:B,2,0)</f>
        <v>NB</v>
      </c>
    </row>
    <row r="4" spans="1:18" x14ac:dyDescent="0.25">
      <c r="A4" t="s">
        <v>61</v>
      </c>
      <c r="B4" s="1">
        <v>45601</v>
      </c>
      <c r="C4" s="1">
        <v>45607</v>
      </c>
      <c r="D4" t="s">
        <v>16</v>
      </c>
      <c r="E4">
        <v>2024</v>
      </c>
      <c r="F4">
        <v>11</v>
      </c>
      <c r="G4">
        <v>5</v>
      </c>
      <c r="H4">
        <v>45</v>
      </c>
      <c r="I4" s="3">
        <v>3</v>
      </c>
      <c r="J4" t="s">
        <v>47</v>
      </c>
      <c r="K4" t="s">
        <v>48</v>
      </c>
      <c r="L4" t="s">
        <v>17</v>
      </c>
      <c r="M4" t="s">
        <v>107</v>
      </c>
      <c r="N4" s="3">
        <v>157</v>
      </c>
      <c r="O4" s="3">
        <f>ApprovedTimeReport_001_2024115__1[[#This Row],[CostRate]]/0.9075</f>
        <v>173.00275482093664</v>
      </c>
      <c r="P4" s="3">
        <f>ApprovedTimeReport_001_2024115__1[[#This Row],[CostRate w/ Taxes]]*ApprovedTimeReport_001_2024115__1[[#This Row],[Time Actual]]</f>
        <v>519.00826446280996</v>
      </c>
      <c r="Q4" t="s">
        <v>30</v>
      </c>
      <c r="R4" s="2" t="str">
        <f>VLOOKUP(A:A,Vlookup!A:B,2,0)</f>
        <v>NB</v>
      </c>
    </row>
    <row r="5" spans="1:18" x14ac:dyDescent="0.25">
      <c r="A5" t="s">
        <v>60</v>
      </c>
      <c r="B5" s="1">
        <v>45600</v>
      </c>
      <c r="C5" s="1">
        <v>45607</v>
      </c>
      <c r="D5" t="s">
        <v>16</v>
      </c>
      <c r="E5">
        <v>2024</v>
      </c>
      <c r="F5">
        <v>11</v>
      </c>
      <c r="G5">
        <v>4</v>
      </c>
      <c r="H5">
        <v>45</v>
      </c>
      <c r="I5" s="3">
        <v>1</v>
      </c>
      <c r="J5" t="s">
        <v>47</v>
      </c>
      <c r="K5" t="s">
        <v>48</v>
      </c>
      <c r="L5" t="s">
        <v>17</v>
      </c>
      <c r="M5" t="s">
        <v>108</v>
      </c>
      <c r="N5" s="3">
        <v>157</v>
      </c>
      <c r="O5" s="3">
        <f>ApprovedTimeReport_001_2024115__1[[#This Row],[CostRate]]/0.9075</f>
        <v>173.00275482093664</v>
      </c>
      <c r="P5" s="3">
        <f>ApprovedTimeReport_001_2024115__1[[#This Row],[CostRate w/ Taxes]]*ApprovedTimeReport_001_2024115__1[[#This Row],[Time Actual]]</f>
        <v>173.00275482093664</v>
      </c>
      <c r="Q5" t="s">
        <v>58</v>
      </c>
      <c r="R5" s="2" t="str">
        <f>VLOOKUP(A:A,Vlookup!A:B,2,0)</f>
        <v>T&amp;M</v>
      </c>
    </row>
    <row r="6" spans="1:18" x14ac:dyDescent="0.25">
      <c r="A6" t="s">
        <v>38</v>
      </c>
      <c r="B6" s="1">
        <v>45604</v>
      </c>
      <c r="C6" s="1">
        <v>45607</v>
      </c>
      <c r="D6" t="s">
        <v>16</v>
      </c>
      <c r="E6">
        <v>2024</v>
      </c>
      <c r="F6">
        <v>11</v>
      </c>
      <c r="G6">
        <v>8</v>
      </c>
      <c r="H6">
        <v>45</v>
      </c>
      <c r="I6" s="3">
        <v>1</v>
      </c>
      <c r="J6" t="s">
        <v>47</v>
      </c>
      <c r="K6" t="s">
        <v>48</v>
      </c>
      <c r="L6" t="s">
        <v>24</v>
      </c>
      <c r="M6" t="s">
        <v>98</v>
      </c>
      <c r="N6" s="3">
        <v>157</v>
      </c>
      <c r="O6" s="3">
        <f>ApprovedTimeReport_001_2024115__1[[#This Row],[CostRate]]/0.9075</f>
        <v>173.00275482093664</v>
      </c>
      <c r="P6" s="3">
        <f>ApprovedTimeReport_001_2024115__1[[#This Row],[CostRate w/ Taxes]]*ApprovedTimeReport_001_2024115__1[[#This Row],[Time Actual]]</f>
        <v>173.00275482093664</v>
      </c>
      <c r="Q6" t="s">
        <v>39</v>
      </c>
      <c r="R6" s="2" t="str">
        <f>VLOOKUP(A:A,Vlookup!A:B,2,0)</f>
        <v>FF</v>
      </c>
    </row>
    <row r="7" spans="1:18" x14ac:dyDescent="0.25">
      <c r="A7" t="s">
        <v>53</v>
      </c>
      <c r="B7" s="1">
        <v>45601</v>
      </c>
      <c r="C7" s="1">
        <v>45607</v>
      </c>
      <c r="D7" t="s">
        <v>16</v>
      </c>
      <c r="E7">
        <v>2024</v>
      </c>
      <c r="F7">
        <v>11</v>
      </c>
      <c r="G7">
        <v>5</v>
      </c>
      <c r="H7">
        <v>45</v>
      </c>
      <c r="I7" s="3">
        <v>1</v>
      </c>
      <c r="J7" t="s">
        <v>47</v>
      </c>
      <c r="K7" t="s">
        <v>48</v>
      </c>
      <c r="L7" t="s">
        <v>17</v>
      </c>
      <c r="M7" t="s">
        <v>106</v>
      </c>
      <c r="N7" s="3">
        <v>157</v>
      </c>
      <c r="O7" s="3">
        <f>ApprovedTimeReport_001_2024115__1[[#This Row],[CostRate]]/0.9075</f>
        <v>173.00275482093664</v>
      </c>
      <c r="P7" s="3">
        <f>ApprovedTimeReport_001_2024115__1[[#This Row],[CostRate w/ Taxes]]*ApprovedTimeReport_001_2024115__1[[#This Row],[Time Actual]]</f>
        <v>173.00275482093664</v>
      </c>
      <c r="Q7" t="s">
        <v>54</v>
      </c>
      <c r="R7" s="2" t="str">
        <f>VLOOKUP(A:A,Vlookup!A:B,2,0)</f>
        <v>FF</v>
      </c>
    </row>
    <row r="8" spans="1:18" x14ac:dyDescent="0.25">
      <c r="A8" t="s">
        <v>26</v>
      </c>
      <c r="B8" s="1">
        <v>45625</v>
      </c>
      <c r="C8" s="1">
        <v>45628</v>
      </c>
      <c r="D8" t="s">
        <v>21</v>
      </c>
      <c r="E8">
        <v>2024</v>
      </c>
      <c r="F8">
        <v>11</v>
      </c>
      <c r="G8">
        <v>29</v>
      </c>
      <c r="H8">
        <v>48</v>
      </c>
      <c r="I8" s="3">
        <v>10</v>
      </c>
      <c r="J8" t="s">
        <v>47</v>
      </c>
      <c r="K8" t="s">
        <v>48</v>
      </c>
      <c r="L8" t="s">
        <v>24</v>
      </c>
      <c r="M8" t="s">
        <v>49</v>
      </c>
      <c r="N8" s="3">
        <v>99.83</v>
      </c>
      <c r="O8" s="3">
        <v>110</v>
      </c>
      <c r="P8" s="3">
        <f>ApprovedTimeReport_001_2024115__1[[#This Row],[CostRate w/ Taxes]]*ApprovedTimeReport_001_2024115__1[[#This Row],[Time Actual]]</f>
        <v>1100</v>
      </c>
      <c r="Q8" t="s">
        <v>20</v>
      </c>
      <c r="R8" s="2" t="str">
        <f>VLOOKUP(A:A,Vlookup!A:B,2,0)</f>
        <v>NB</v>
      </c>
    </row>
    <row r="9" spans="1:18" x14ac:dyDescent="0.25">
      <c r="A9" t="s">
        <v>26</v>
      </c>
      <c r="B9" s="1">
        <v>45624</v>
      </c>
      <c r="C9" s="1">
        <v>45628</v>
      </c>
      <c r="D9" t="s">
        <v>21</v>
      </c>
      <c r="E9">
        <v>2024</v>
      </c>
      <c r="F9">
        <v>11</v>
      </c>
      <c r="G9">
        <v>28</v>
      </c>
      <c r="H9">
        <v>48</v>
      </c>
      <c r="I9" s="3">
        <v>3</v>
      </c>
      <c r="J9" t="s">
        <v>47</v>
      </c>
      <c r="K9" t="s">
        <v>48</v>
      </c>
      <c r="L9" t="s">
        <v>24</v>
      </c>
      <c r="M9" t="s">
        <v>67</v>
      </c>
      <c r="N9" s="3">
        <v>99.83</v>
      </c>
      <c r="O9" s="3">
        <v>110</v>
      </c>
      <c r="P9" s="3">
        <f>ApprovedTimeReport_001_2024115__1[[#This Row],[CostRate w/ Taxes]]*ApprovedTimeReport_001_2024115__1[[#This Row],[Time Actual]]</f>
        <v>330</v>
      </c>
      <c r="Q9" t="s">
        <v>20</v>
      </c>
      <c r="R9" s="2" t="str">
        <f>VLOOKUP(A:A,Vlookup!A:B,2,0)</f>
        <v>NB</v>
      </c>
    </row>
    <row r="10" spans="1:18" x14ac:dyDescent="0.25">
      <c r="A10" t="s">
        <v>26</v>
      </c>
      <c r="B10" s="1">
        <v>45623</v>
      </c>
      <c r="C10" s="1">
        <v>45628</v>
      </c>
      <c r="D10" t="s">
        <v>21</v>
      </c>
      <c r="E10">
        <v>2024</v>
      </c>
      <c r="F10">
        <v>11</v>
      </c>
      <c r="G10">
        <v>27</v>
      </c>
      <c r="H10">
        <v>48</v>
      </c>
      <c r="I10" s="3">
        <v>8</v>
      </c>
      <c r="J10" t="s">
        <v>47</v>
      </c>
      <c r="K10" t="s">
        <v>48</v>
      </c>
      <c r="L10" t="s">
        <v>24</v>
      </c>
      <c r="M10" t="s">
        <v>72</v>
      </c>
      <c r="N10" s="3">
        <v>99.83</v>
      </c>
      <c r="O10" s="3">
        <v>110</v>
      </c>
      <c r="P10" s="3">
        <f>ApprovedTimeReport_001_2024115__1[[#This Row],[CostRate w/ Taxes]]*ApprovedTimeReport_001_2024115__1[[#This Row],[Time Actual]]</f>
        <v>880</v>
      </c>
      <c r="Q10" t="s">
        <v>20</v>
      </c>
      <c r="R10" s="2" t="str">
        <f>VLOOKUP(A:A,Vlookup!A:B,2,0)</f>
        <v>NB</v>
      </c>
    </row>
    <row r="11" spans="1:18" x14ac:dyDescent="0.25">
      <c r="A11" t="s">
        <v>26</v>
      </c>
      <c r="B11" s="1">
        <v>45622</v>
      </c>
      <c r="C11" s="1">
        <v>45628</v>
      </c>
      <c r="D11" t="s">
        <v>21</v>
      </c>
      <c r="E11">
        <v>2024</v>
      </c>
      <c r="F11">
        <v>11</v>
      </c>
      <c r="G11">
        <v>26</v>
      </c>
      <c r="H11">
        <v>48</v>
      </c>
      <c r="I11" s="3">
        <v>9</v>
      </c>
      <c r="J11" t="s">
        <v>47</v>
      </c>
      <c r="K11" t="s">
        <v>48</v>
      </c>
      <c r="L11" t="s">
        <v>24</v>
      </c>
      <c r="M11" t="s">
        <v>76</v>
      </c>
      <c r="N11" s="3">
        <v>99.83</v>
      </c>
      <c r="O11" s="3">
        <v>110</v>
      </c>
      <c r="P11" s="3">
        <f>ApprovedTimeReport_001_2024115__1[[#This Row],[CostRate w/ Taxes]]*ApprovedTimeReport_001_2024115__1[[#This Row],[Time Actual]]</f>
        <v>990</v>
      </c>
      <c r="Q11" t="s">
        <v>20</v>
      </c>
      <c r="R11" s="2" t="str">
        <f>VLOOKUP(A:A,Vlookup!A:B,2,0)</f>
        <v>NB</v>
      </c>
    </row>
    <row r="12" spans="1:18" x14ac:dyDescent="0.25">
      <c r="A12" t="s">
        <v>26</v>
      </c>
      <c r="B12" s="1">
        <v>45621</v>
      </c>
      <c r="C12" s="1">
        <v>45628</v>
      </c>
      <c r="D12" t="s">
        <v>21</v>
      </c>
      <c r="E12">
        <v>2024</v>
      </c>
      <c r="F12">
        <v>11</v>
      </c>
      <c r="G12">
        <v>25</v>
      </c>
      <c r="H12">
        <v>48</v>
      </c>
      <c r="I12" s="3">
        <v>8</v>
      </c>
      <c r="J12" t="s">
        <v>47</v>
      </c>
      <c r="K12" t="s">
        <v>48</v>
      </c>
      <c r="L12" t="s">
        <v>24</v>
      </c>
      <c r="M12" t="s">
        <v>81</v>
      </c>
      <c r="N12" s="3">
        <v>99.83</v>
      </c>
      <c r="O12" s="3">
        <v>110</v>
      </c>
      <c r="P12" s="3">
        <f>ApprovedTimeReport_001_2024115__1[[#This Row],[CostRate w/ Taxes]]*ApprovedTimeReport_001_2024115__1[[#This Row],[Time Actual]]</f>
        <v>880</v>
      </c>
      <c r="Q12" t="s">
        <v>20</v>
      </c>
      <c r="R12" s="2" t="str">
        <f>VLOOKUP(A:A,Vlookup!A:B,2,0)</f>
        <v>NB</v>
      </c>
    </row>
    <row r="13" spans="1:18" x14ac:dyDescent="0.25">
      <c r="A13" t="s">
        <v>26</v>
      </c>
      <c r="B13" s="1">
        <v>45618</v>
      </c>
      <c r="C13" s="1">
        <v>45621</v>
      </c>
      <c r="D13" t="s">
        <v>21</v>
      </c>
      <c r="E13">
        <v>2024</v>
      </c>
      <c r="F13">
        <v>11</v>
      </c>
      <c r="G13">
        <v>22</v>
      </c>
      <c r="H13">
        <v>47</v>
      </c>
      <c r="I13" s="3">
        <v>11</v>
      </c>
      <c r="J13" t="s">
        <v>47</v>
      </c>
      <c r="K13" t="s">
        <v>48</v>
      </c>
      <c r="L13" t="s">
        <v>24</v>
      </c>
      <c r="M13" t="s">
        <v>83</v>
      </c>
      <c r="N13" s="3">
        <v>99.83</v>
      </c>
      <c r="O13" s="3">
        <v>110</v>
      </c>
      <c r="P13" s="3">
        <f>ApprovedTimeReport_001_2024115__1[[#This Row],[CostRate w/ Taxes]]*ApprovedTimeReport_001_2024115__1[[#This Row],[Time Actual]]</f>
        <v>1210</v>
      </c>
      <c r="Q13" t="s">
        <v>20</v>
      </c>
      <c r="R13" s="2" t="str">
        <f>VLOOKUP(A:A,Vlookup!A:B,2,0)</f>
        <v>NB</v>
      </c>
    </row>
    <row r="14" spans="1:18" x14ac:dyDescent="0.25">
      <c r="A14" t="s">
        <v>26</v>
      </c>
      <c r="B14" s="1">
        <v>45617</v>
      </c>
      <c r="C14" s="1">
        <v>45621</v>
      </c>
      <c r="D14" t="s">
        <v>21</v>
      </c>
      <c r="E14">
        <v>2024</v>
      </c>
      <c r="F14">
        <v>11</v>
      </c>
      <c r="G14">
        <v>21</v>
      </c>
      <c r="H14">
        <v>47</v>
      </c>
      <c r="I14" s="3">
        <v>7</v>
      </c>
      <c r="J14" t="s">
        <v>47</v>
      </c>
      <c r="K14" t="s">
        <v>48</v>
      </c>
      <c r="L14" t="s">
        <v>24</v>
      </c>
      <c r="M14" t="s">
        <v>87</v>
      </c>
      <c r="N14" s="3">
        <v>99.83</v>
      </c>
      <c r="O14" s="3">
        <v>110</v>
      </c>
      <c r="P14" s="3">
        <f>ApprovedTimeReport_001_2024115__1[[#This Row],[CostRate w/ Taxes]]*ApprovedTimeReport_001_2024115__1[[#This Row],[Time Actual]]</f>
        <v>770</v>
      </c>
      <c r="Q14" t="s">
        <v>20</v>
      </c>
      <c r="R14" s="2" t="str">
        <f>VLOOKUP(A:A,Vlookup!A:B,2,0)</f>
        <v>NB</v>
      </c>
    </row>
    <row r="15" spans="1:18" x14ac:dyDescent="0.25">
      <c r="A15" t="s">
        <v>26</v>
      </c>
      <c r="B15" s="1">
        <v>45615</v>
      </c>
      <c r="C15" s="1">
        <v>45621</v>
      </c>
      <c r="D15" t="s">
        <v>21</v>
      </c>
      <c r="E15">
        <v>2024</v>
      </c>
      <c r="F15">
        <v>11</v>
      </c>
      <c r="G15">
        <v>19</v>
      </c>
      <c r="H15">
        <v>47</v>
      </c>
      <c r="I15" s="3">
        <v>8</v>
      </c>
      <c r="J15" t="s">
        <v>47</v>
      </c>
      <c r="K15" t="s">
        <v>48</v>
      </c>
      <c r="L15" t="s">
        <v>24</v>
      </c>
      <c r="M15" t="s">
        <v>88</v>
      </c>
      <c r="N15" s="3">
        <v>99.83</v>
      </c>
      <c r="O15" s="3">
        <v>110</v>
      </c>
      <c r="P15" s="3">
        <f>ApprovedTimeReport_001_2024115__1[[#This Row],[CostRate w/ Taxes]]*ApprovedTimeReport_001_2024115__1[[#This Row],[Time Actual]]</f>
        <v>880</v>
      </c>
      <c r="Q15" t="s">
        <v>20</v>
      </c>
      <c r="R15" s="2" t="str">
        <f>VLOOKUP(A:A,Vlookup!A:B,2,0)</f>
        <v>NB</v>
      </c>
    </row>
    <row r="16" spans="1:18" x14ac:dyDescent="0.25">
      <c r="A16" t="s">
        <v>26</v>
      </c>
      <c r="B16" s="1">
        <v>45614</v>
      </c>
      <c r="C16" s="1">
        <v>45621</v>
      </c>
      <c r="D16" t="s">
        <v>21</v>
      </c>
      <c r="E16">
        <v>2024</v>
      </c>
      <c r="F16">
        <v>11</v>
      </c>
      <c r="G16">
        <v>18</v>
      </c>
      <c r="H16">
        <v>47</v>
      </c>
      <c r="I16" s="3">
        <v>9</v>
      </c>
      <c r="J16" t="s">
        <v>47</v>
      </c>
      <c r="K16" t="s">
        <v>48</v>
      </c>
      <c r="L16" t="s">
        <v>24</v>
      </c>
      <c r="M16" t="s">
        <v>89</v>
      </c>
      <c r="N16" s="3">
        <v>99.83</v>
      </c>
      <c r="O16" s="3">
        <v>110</v>
      </c>
      <c r="P16" s="3">
        <f>ApprovedTimeReport_001_2024115__1[[#This Row],[CostRate w/ Taxes]]*ApprovedTimeReport_001_2024115__1[[#This Row],[Time Actual]]</f>
        <v>990</v>
      </c>
      <c r="Q16" t="s">
        <v>20</v>
      </c>
      <c r="R16" s="2" t="str">
        <f>VLOOKUP(A:A,Vlookup!A:B,2,0)</f>
        <v>NB</v>
      </c>
    </row>
    <row r="17" spans="1:18" x14ac:dyDescent="0.25">
      <c r="A17" t="s">
        <v>26</v>
      </c>
      <c r="B17" s="1">
        <v>45610</v>
      </c>
      <c r="C17" s="1">
        <v>45614</v>
      </c>
      <c r="D17" t="s">
        <v>21</v>
      </c>
      <c r="E17">
        <v>2024</v>
      </c>
      <c r="F17">
        <v>11</v>
      </c>
      <c r="G17">
        <v>14</v>
      </c>
      <c r="H17">
        <v>46</v>
      </c>
      <c r="I17" s="3">
        <v>7</v>
      </c>
      <c r="J17" t="s">
        <v>47</v>
      </c>
      <c r="K17" t="s">
        <v>48</v>
      </c>
      <c r="L17" t="s">
        <v>24</v>
      </c>
      <c r="M17" t="s">
        <v>90</v>
      </c>
      <c r="N17" s="3">
        <v>99.83</v>
      </c>
      <c r="O17" s="3">
        <v>110</v>
      </c>
      <c r="P17" s="3">
        <f>ApprovedTimeReport_001_2024115__1[[#This Row],[CostRate w/ Taxes]]*ApprovedTimeReport_001_2024115__1[[#This Row],[Time Actual]]</f>
        <v>770</v>
      </c>
      <c r="Q17" t="s">
        <v>20</v>
      </c>
      <c r="R17" s="2" t="str">
        <f>VLOOKUP(A:A,Vlookup!A:B,2,0)</f>
        <v>NB</v>
      </c>
    </row>
    <row r="18" spans="1:18" x14ac:dyDescent="0.25">
      <c r="A18" t="s">
        <v>26</v>
      </c>
      <c r="B18" s="1">
        <v>45609</v>
      </c>
      <c r="C18" s="1">
        <v>45614</v>
      </c>
      <c r="D18" t="s">
        <v>16</v>
      </c>
      <c r="E18">
        <v>2024</v>
      </c>
      <c r="F18">
        <v>11</v>
      </c>
      <c r="G18">
        <v>13</v>
      </c>
      <c r="H18">
        <v>46</v>
      </c>
      <c r="I18" s="3">
        <v>10</v>
      </c>
      <c r="J18" t="s">
        <v>47</v>
      </c>
      <c r="K18" t="s">
        <v>48</v>
      </c>
      <c r="L18" t="s">
        <v>17</v>
      </c>
      <c r="M18" t="s">
        <v>93</v>
      </c>
      <c r="N18" s="3">
        <v>86.43</v>
      </c>
      <c r="O18" s="3">
        <f>ApprovedTimeReport_001_2024115__1[[#This Row],[CostRate]]/0.9075</f>
        <v>95.239669421487619</v>
      </c>
      <c r="P18" s="3">
        <f>ApprovedTimeReport_001_2024115__1[[#This Row],[CostRate w/ Taxes]]*ApprovedTimeReport_001_2024115__1[[#This Row],[Time Actual]]</f>
        <v>952.39669421487622</v>
      </c>
      <c r="Q18" t="s">
        <v>20</v>
      </c>
      <c r="R18" s="2" t="str">
        <f>VLOOKUP(A:A,Vlookup!A:B,2,0)</f>
        <v>NB</v>
      </c>
    </row>
    <row r="19" spans="1:18" x14ac:dyDescent="0.25">
      <c r="A19" t="s">
        <v>26</v>
      </c>
      <c r="B19" s="1">
        <v>45608</v>
      </c>
      <c r="C19" s="1">
        <v>45614</v>
      </c>
      <c r="D19" t="s">
        <v>16</v>
      </c>
      <c r="E19">
        <v>2024</v>
      </c>
      <c r="F19">
        <v>11</v>
      </c>
      <c r="G19">
        <v>12</v>
      </c>
      <c r="H19">
        <v>46</v>
      </c>
      <c r="I19" s="3">
        <v>8</v>
      </c>
      <c r="J19" t="s">
        <v>47</v>
      </c>
      <c r="K19" t="s">
        <v>48</v>
      </c>
      <c r="L19" t="s">
        <v>17</v>
      </c>
      <c r="M19" t="s">
        <v>94</v>
      </c>
      <c r="N19" s="3">
        <v>86.43</v>
      </c>
      <c r="O19" s="3">
        <f>ApprovedTimeReport_001_2024115__1[[#This Row],[CostRate]]/0.9075</f>
        <v>95.239669421487619</v>
      </c>
      <c r="P19" s="3">
        <f>ApprovedTimeReport_001_2024115__1[[#This Row],[CostRate w/ Taxes]]*ApprovedTimeReport_001_2024115__1[[#This Row],[Time Actual]]</f>
        <v>761.91735537190095</v>
      </c>
      <c r="Q19" t="s">
        <v>20</v>
      </c>
      <c r="R19" s="2" t="str">
        <f>VLOOKUP(A:A,Vlookup!A:B,2,0)</f>
        <v>NB</v>
      </c>
    </row>
    <row r="20" spans="1:18" x14ac:dyDescent="0.25">
      <c r="A20" t="s">
        <v>26</v>
      </c>
      <c r="B20" s="1">
        <v>45607</v>
      </c>
      <c r="C20" s="1">
        <v>45614</v>
      </c>
      <c r="D20" t="s">
        <v>16</v>
      </c>
      <c r="E20">
        <v>2024</v>
      </c>
      <c r="F20">
        <v>11</v>
      </c>
      <c r="G20">
        <v>11</v>
      </c>
      <c r="H20">
        <v>46</v>
      </c>
      <c r="I20" s="3">
        <v>9</v>
      </c>
      <c r="J20" t="s">
        <v>47</v>
      </c>
      <c r="K20" t="s">
        <v>48</v>
      </c>
      <c r="L20" t="s">
        <v>17</v>
      </c>
      <c r="M20" t="s">
        <v>95</v>
      </c>
      <c r="N20" s="3">
        <v>86.43</v>
      </c>
      <c r="O20" s="3">
        <f>ApprovedTimeReport_001_2024115__1[[#This Row],[CostRate]]/0.9075</f>
        <v>95.239669421487619</v>
      </c>
      <c r="P20" s="3">
        <f>ApprovedTimeReport_001_2024115__1[[#This Row],[CostRate w/ Taxes]]*ApprovedTimeReport_001_2024115__1[[#This Row],[Time Actual]]</f>
        <v>857.15702479338859</v>
      </c>
      <c r="Q20" t="s">
        <v>20</v>
      </c>
      <c r="R20" s="2" t="str">
        <f>VLOOKUP(A:A,Vlookup!A:B,2,0)</f>
        <v>NB</v>
      </c>
    </row>
    <row r="21" spans="1:18" x14ac:dyDescent="0.25">
      <c r="A21" t="s">
        <v>26</v>
      </c>
      <c r="B21" s="1">
        <v>45604</v>
      </c>
      <c r="C21" s="1">
        <v>45607</v>
      </c>
      <c r="D21" t="s">
        <v>21</v>
      </c>
      <c r="E21">
        <v>2024</v>
      </c>
      <c r="F21">
        <v>11</v>
      </c>
      <c r="G21">
        <v>8</v>
      </c>
      <c r="H21">
        <v>45</v>
      </c>
      <c r="I21" s="3">
        <v>7</v>
      </c>
      <c r="J21" t="s">
        <v>47</v>
      </c>
      <c r="K21" t="s">
        <v>48</v>
      </c>
      <c r="L21" t="s">
        <v>24</v>
      </c>
      <c r="M21" t="s">
        <v>97</v>
      </c>
      <c r="N21" s="3">
        <v>99.83</v>
      </c>
      <c r="O21" s="3">
        <v>110</v>
      </c>
      <c r="P21" s="3">
        <f>ApprovedTimeReport_001_2024115__1[[#This Row],[CostRate w/ Taxes]]*ApprovedTimeReport_001_2024115__1[[#This Row],[Time Actual]]</f>
        <v>770</v>
      </c>
      <c r="Q21" t="s">
        <v>20</v>
      </c>
      <c r="R21" s="2" t="str">
        <f>VLOOKUP(A:A,Vlookup!A:B,2,0)</f>
        <v>NB</v>
      </c>
    </row>
    <row r="22" spans="1:18" x14ac:dyDescent="0.25">
      <c r="A22" t="s">
        <v>26</v>
      </c>
      <c r="B22" s="1">
        <v>45603</v>
      </c>
      <c r="C22" s="1">
        <v>45607</v>
      </c>
      <c r="D22" t="s">
        <v>21</v>
      </c>
      <c r="E22">
        <v>2024</v>
      </c>
      <c r="F22">
        <v>11</v>
      </c>
      <c r="G22">
        <v>7</v>
      </c>
      <c r="H22">
        <v>45</v>
      </c>
      <c r="I22" s="3">
        <v>7</v>
      </c>
      <c r="J22" t="s">
        <v>47</v>
      </c>
      <c r="K22" t="s">
        <v>48</v>
      </c>
      <c r="L22" t="s">
        <v>24</v>
      </c>
      <c r="M22" t="s">
        <v>101</v>
      </c>
      <c r="N22" s="3">
        <v>99.83</v>
      </c>
      <c r="O22" s="3">
        <v>110</v>
      </c>
      <c r="P22" s="3">
        <f>ApprovedTimeReport_001_2024115__1[[#This Row],[CostRate w/ Taxes]]*ApprovedTimeReport_001_2024115__1[[#This Row],[Time Actual]]</f>
        <v>770</v>
      </c>
      <c r="Q22" t="s">
        <v>20</v>
      </c>
      <c r="R22" s="2" t="str">
        <f>VLOOKUP(A:A,Vlookup!A:B,2,0)</f>
        <v>NB</v>
      </c>
    </row>
    <row r="23" spans="1:18" x14ac:dyDescent="0.25">
      <c r="A23" t="s">
        <v>26</v>
      </c>
      <c r="B23" s="1">
        <v>45602</v>
      </c>
      <c r="C23" s="1">
        <v>45607</v>
      </c>
      <c r="D23" t="s">
        <v>21</v>
      </c>
      <c r="E23">
        <v>2024</v>
      </c>
      <c r="F23">
        <v>11</v>
      </c>
      <c r="G23">
        <v>6</v>
      </c>
      <c r="H23">
        <v>45</v>
      </c>
      <c r="I23" s="3">
        <v>4</v>
      </c>
      <c r="J23" t="s">
        <v>47</v>
      </c>
      <c r="K23" t="s">
        <v>48</v>
      </c>
      <c r="L23" t="s">
        <v>24</v>
      </c>
      <c r="M23" t="s">
        <v>103</v>
      </c>
      <c r="N23" s="3">
        <v>99.83</v>
      </c>
      <c r="O23" s="3">
        <v>110</v>
      </c>
      <c r="P23" s="3">
        <f>ApprovedTimeReport_001_2024115__1[[#This Row],[CostRate w/ Taxes]]*ApprovedTimeReport_001_2024115__1[[#This Row],[Time Actual]]</f>
        <v>440</v>
      </c>
      <c r="Q23" t="s">
        <v>20</v>
      </c>
      <c r="R23" s="2" t="str">
        <f>VLOOKUP(A:A,Vlookup!A:B,2,0)</f>
        <v>NB</v>
      </c>
    </row>
    <row r="24" spans="1:18" x14ac:dyDescent="0.25">
      <c r="A24" t="s">
        <v>26</v>
      </c>
      <c r="B24" s="1">
        <v>45601</v>
      </c>
      <c r="C24" s="1">
        <v>45607</v>
      </c>
      <c r="D24" t="s">
        <v>21</v>
      </c>
      <c r="E24">
        <v>2024</v>
      </c>
      <c r="F24">
        <v>11</v>
      </c>
      <c r="G24">
        <v>5</v>
      </c>
      <c r="H24">
        <v>45</v>
      </c>
      <c r="I24" s="3">
        <v>4</v>
      </c>
      <c r="J24" t="s">
        <v>47</v>
      </c>
      <c r="K24" t="s">
        <v>48</v>
      </c>
      <c r="L24" t="s">
        <v>24</v>
      </c>
      <c r="M24" t="s">
        <v>105</v>
      </c>
      <c r="N24" s="3">
        <v>99.83</v>
      </c>
      <c r="O24" s="3">
        <v>110</v>
      </c>
      <c r="P24" s="3">
        <f>ApprovedTimeReport_001_2024115__1[[#This Row],[CostRate w/ Taxes]]*ApprovedTimeReport_001_2024115__1[[#This Row],[Time Actual]]</f>
        <v>440</v>
      </c>
      <c r="Q24" t="s">
        <v>20</v>
      </c>
      <c r="R24" s="2" t="str">
        <f>VLOOKUP(A:A,Vlookup!A:B,2,0)</f>
        <v>NB</v>
      </c>
    </row>
    <row r="25" spans="1:18" x14ac:dyDescent="0.25">
      <c r="A25" t="s">
        <v>26</v>
      </c>
      <c r="B25" s="1">
        <v>45600</v>
      </c>
      <c r="C25" s="1">
        <v>45607</v>
      </c>
      <c r="D25" t="s">
        <v>21</v>
      </c>
      <c r="E25">
        <v>2024</v>
      </c>
      <c r="F25">
        <v>11</v>
      </c>
      <c r="G25">
        <v>4</v>
      </c>
      <c r="H25">
        <v>45</v>
      </c>
      <c r="I25" s="3">
        <v>7</v>
      </c>
      <c r="J25" t="s">
        <v>47</v>
      </c>
      <c r="K25" t="s">
        <v>48</v>
      </c>
      <c r="L25" t="s">
        <v>24</v>
      </c>
      <c r="M25" t="s">
        <v>109</v>
      </c>
      <c r="N25" s="3">
        <v>99.83</v>
      </c>
      <c r="O25" s="3">
        <v>110</v>
      </c>
      <c r="P25" s="3">
        <f>ApprovedTimeReport_001_2024115__1[[#This Row],[CostRate w/ Taxes]]*ApprovedTimeReport_001_2024115__1[[#This Row],[Time Actual]]</f>
        <v>770</v>
      </c>
      <c r="Q25" t="s">
        <v>20</v>
      </c>
      <c r="R25" s="2" t="str">
        <f>VLOOKUP(A:A,Vlookup!A:B,2,0)</f>
        <v>NB</v>
      </c>
    </row>
    <row r="26" spans="1:18" x14ac:dyDescent="0.25">
      <c r="A26" t="s">
        <v>26</v>
      </c>
      <c r="B26" s="1">
        <v>45597</v>
      </c>
      <c r="C26" s="1">
        <v>45601</v>
      </c>
      <c r="D26" t="s">
        <v>21</v>
      </c>
      <c r="E26">
        <v>2024</v>
      </c>
      <c r="F26">
        <v>11</v>
      </c>
      <c r="G26">
        <v>1</v>
      </c>
      <c r="H26">
        <v>44</v>
      </c>
      <c r="I26" s="3">
        <v>8</v>
      </c>
      <c r="J26" t="s">
        <v>47</v>
      </c>
      <c r="K26" t="s">
        <v>48</v>
      </c>
      <c r="L26" t="s">
        <v>24</v>
      </c>
      <c r="M26" t="s">
        <v>112</v>
      </c>
      <c r="N26" s="3">
        <v>99.83</v>
      </c>
      <c r="O26" s="3">
        <v>110</v>
      </c>
      <c r="P26" s="3">
        <f>ApprovedTimeReport_001_2024115__1[[#This Row],[CostRate w/ Taxes]]*ApprovedTimeReport_001_2024115__1[[#This Row],[Time Actual]]</f>
        <v>880</v>
      </c>
      <c r="Q26" t="s">
        <v>20</v>
      </c>
      <c r="R26" s="2" t="str">
        <f>VLOOKUP(A:A,Vlookup!A:B,2,0)</f>
        <v>NB</v>
      </c>
    </row>
    <row r="27" spans="1:18" x14ac:dyDescent="0.25">
      <c r="A27" t="s">
        <v>28</v>
      </c>
      <c r="B27" s="1">
        <v>45624</v>
      </c>
      <c r="C27" s="1">
        <v>45628</v>
      </c>
      <c r="D27" t="s">
        <v>16</v>
      </c>
      <c r="E27">
        <v>2024</v>
      </c>
      <c r="F27">
        <v>11</v>
      </c>
      <c r="G27">
        <v>28</v>
      </c>
      <c r="H27">
        <v>48</v>
      </c>
      <c r="I27" s="3">
        <v>1</v>
      </c>
      <c r="J27" t="s">
        <v>47</v>
      </c>
      <c r="K27" t="s">
        <v>48</v>
      </c>
      <c r="L27" t="s">
        <v>17</v>
      </c>
      <c r="M27" t="s">
        <v>71</v>
      </c>
      <c r="N27" s="3">
        <v>99.83</v>
      </c>
      <c r="O27" s="3">
        <v>110</v>
      </c>
      <c r="P27" s="3">
        <f>ApprovedTimeReport_001_2024115__1[[#This Row],[CostRate w/ Taxes]]*ApprovedTimeReport_001_2024115__1[[#This Row],[Time Actual]]</f>
        <v>110</v>
      </c>
      <c r="Q27" t="s">
        <v>20</v>
      </c>
      <c r="R27" s="2" t="str">
        <f>VLOOKUP(A:A,Vlookup!A:B,2,0)</f>
        <v>NB</v>
      </c>
    </row>
    <row r="28" spans="1:18" x14ac:dyDescent="0.25">
      <c r="A28" t="s">
        <v>28</v>
      </c>
      <c r="B28" s="1">
        <v>45617</v>
      </c>
      <c r="C28" s="1">
        <v>45621</v>
      </c>
      <c r="D28" t="s">
        <v>16</v>
      </c>
      <c r="E28">
        <v>2024</v>
      </c>
      <c r="F28">
        <v>11</v>
      </c>
      <c r="G28">
        <v>21</v>
      </c>
      <c r="H28">
        <v>47</v>
      </c>
      <c r="I28" s="3">
        <v>1</v>
      </c>
      <c r="J28" t="s">
        <v>47</v>
      </c>
      <c r="K28" t="s">
        <v>48</v>
      </c>
      <c r="L28" t="s">
        <v>17</v>
      </c>
      <c r="M28" t="s">
        <v>86</v>
      </c>
      <c r="N28" s="3">
        <v>99.83</v>
      </c>
      <c r="O28" s="3">
        <v>110</v>
      </c>
      <c r="P28" s="3">
        <f>ApprovedTimeReport_001_2024115__1[[#This Row],[CostRate w/ Taxes]]*ApprovedTimeReport_001_2024115__1[[#This Row],[Time Actual]]</f>
        <v>110</v>
      </c>
      <c r="Q28" t="s">
        <v>20</v>
      </c>
      <c r="R28" s="2" t="str">
        <f>VLOOKUP(A:A,Vlookup!A:B,2,0)</f>
        <v>NB</v>
      </c>
    </row>
    <row r="29" spans="1:18" x14ac:dyDescent="0.25">
      <c r="A29" t="s">
        <v>28</v>
      </c>
      <c r="B29" s="1">
        <v>45610</v>
      </c>
      <c r="C29" s="1">
        <v>45614</v>
      </c>
      <c r="D29" t="s">
        <v>16</v>
      </c>
      <c r="E29">
        <v>2024</v>
      </c>
      <c r="F29">
        <v>11</v>
      </c>
      <c r="G29">
        <v>14</v>
      </c>
      <c r="H29">
        <v>46</v>
      </c>
      <c r="I29" s="3">
        <v>1</v>
      </c>
      <c r="J29" t="s">
        <v>47</v>
      </c>
      <c r="K29" t="s">
        <v>48</v>
      </c>
      <c r="L29" t="s">
        <v>17</v>
      </c>
      <c r="M29" t="s">
        <v>91</v>
      </c>
      <c r="N29" s="3">
        <v>99.83</v>
      </c>
      <c r="O29" s="3">
        <v>110</v>
      </c>
      <c r="P29" s="3">
        <f>ApprovedTimeReport_001_2024115__1[[#This Row],[CostRate w/ Taxes]]*ApprovedTimeReport_001_2024115__1[[#This Row],[Time Actual]]</f>
        <v>110</v>
      </c>
      <c r="Q29" t="s">
        <v>20</v>
      </c>
      <c r="R29" s="2" t="str">
        <f>VLOOKUP(A:A,Vlookup!A:B,2,0)</f>
        <v>NB</v>
      </c>
    </row>
    <row r="30" spans="1:18" x14ac:dyDescent="0.25">
      <c r="A30" t="s">
        <v>28</v>
      </c>
      <c r="B30" s="1">
        <v>45603</v>
      </c>
      <c r="C30" s="1">
        <v>45607</v>
      </c>
      <c r="D30" t="s">
        <v>16</v>
      </c>
      <c r="E30">
        <v>2024</v>
      </c>
      <c r="F30">
        <v>11</v>
      </c>
      <c r="G30">
        <v>7</v>
      </c>
      <c r="H30">
        <v>45</v>
      </c>
      <c r="I30" s="3">
        <v>1</v>
      </c>
      <c r="J30" t="s">
        <v>47</v>
      </c>
      <c r="K30" t="s">
        <v>48</v>
      </c>
      <c r="L30" t="s">
        <v>17</v>
      </c>
      <c r="M30" t="s">
        <v>99</v>
      </c>
      <c r="N30" s="3">
        <v>99.83</v>
      </c>
      <c r="O30" s="3">
        <v>110</v>
      </c>
      <c r="P30" s="3">
        <f>ApprovedTimeReport_001_2024115__1[[#This Row],[CostRate w/ Taxes]]*ApprovedTimeReport_001_2024115__1[[#This Row],[Time Actual]]</f>
        <v>110</v>
      </c>
      <c r="Q30" t="s">
        <v>20</v>
      </c>
      <c r="R30" s="2" t="str">
        <f>VLOOKUP(A:A,Vlookup!A:B,2,0)</f>
        <v>NB</v>
      </c>
    </row>
    <row r="31" spans="1:18" x14ac:dyDescent="0.25">
      <c r="A31" t="s">
        <v>28</v>
      </c>
      <c r="B31" s="1">
        <v>45602</v>
      </c>
      <c r="C31" s="1">
        <v>45607</v>
      </c>
      <c r="D31" t="s">
        <v>16</v>
      </c>
      <c r="E31">
        <v>2024</v>
      </c>
      <c r="F31">
        <v>11</v>
      </c>
      <c r="G31">
        <v>6</v>
      </c>
      <c r="H31">
        <v>45</v>
      </c>
      <c r="I31" s="3">
        <v>2</v>
      </c>
      <c r="J31" t="s">
        <v>47</v>
      </c>
      <c r="K31" t="s">
        <v>48</v>
      </c>
      <c r="L31" t="s">
        <v>17</v>
      </c>
      <c r="M31" t="s">
        <v>102</v>
      </c>
      <c r="N31" s="3">
        <v>99.83</v>
      </c>
      <c r="O31" s="3">
        <v>110</v>
      </c>
      <c r="P31" s="3">
        <f>ApprovedTimeReport_001_2024115__1[[#This Row],[CostRate w/ Taxes]]*ApprovedTimeReport_001_2024115__1[[#This Row],[Time Actual]]</f>
        <v>220</v>
      </c>
      <c r="Q31" t="s">
        <v>20</v>
      </c>
      <c r="R31" s="2" t="str">
        <f>VLOOKUP(A:A,Vlookup!A:B,2,0)</f>
        <v>NB</v>
      </c>
    </row>
    <row r="32" spans="1:18" x14ac:dyDescent="0.25">
      <c r="A32" t="s">
        <v>75</v>
      </c>
      <c r="B32" s="1">
        <v>45602</v>
      </c>
      <c r="C32" s="1">
        <v>45607</v>
      </c>
      <c r="D32" t="s">
        <v>16</v>
      </c>
      <c r="E32">
        <v>2024</v>
      </c>
      <c r="F32">
        <v>11</v>
      </c>
      <c r="G32">
        <v>6</v>
      </c>
      <c r="H32">
        <v>45</v>
      </c>
      <c r="I32" s="3">
        <v>2</v>
      </c>
      <c r="J32" t="s">
        <v>47</v>
      </c>
      <c r="K32" t="s">
        <v>48</v>
      </c>
      <c r="L32" t="s">
        <v>24</v>
      </c>
      <c r="M32" t="s">
        <v>104</v>
      </c>
      <c r="N32" s="3">
        <v>86.43</v>
      </c>
      <c r="O32" s="3">
        <f>ApprovedTimeReport_001_2024115__1[[#This Row],[CostRate]]/0.9075</f>
        <v>95.239669421487619</v>
      </c>
      <c r="P32" s="3">
        <f>ApprovedTimeReport_001_2024115__1[[#This Row],[CostRate w/ Taxes]]*ApprovedTimeReport_001_2024115__1[[#This Row],[Time Actual]]</f>
        <v>190.47933884297524</v>
      </c>
      <c r="Q32" t="s">
        <v>20</v>
      </c>
      <c r="R32" s="2" t="str">
        <f>VLOOKUP(A:A,Vlookup!A:B,2,0)</f>
        <v>NB</v>
      </c>
    </row>
    <row r="33" spans="2:18" x14ac:dyDescent="0.25">
      <c r="B33" s="5"/>
      <c r="C33" s="5"/>
      <c r="I33" s="6"/>
      <c r="N33" s="6"/>
      <c r="O33" s="6"/>
      <c r="P33" s="6"/>
      <c r="R33" s="2"/>
    </row>
  </sheetData>
  <pageMargins left="0.511811024" right="0.511811024" top="0.78740157499999996" bottom="0.78740157499999996" header="0.31496062000000002" footer="0.31496062000000002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10C74-F7CF-4C0C-9E15-4B458DC203CF}">
  <dimension ref="A1:B119"/>
  <sheetViews>
    <sheetView topLeftCell="A80" workbookViewId="0">
      <selection activeCell="B119" sqref="B119"/>
    </sheetView>
  </sheetViews>
  <sheetFormatPr defaultRowHeight="15" x14ac:dyDescent="0.25"/>
  <cols>
    <col min="1" max="1" width="22.28515625" bestFit="1" customWidth="1"/>
    <col min="2" max="2" width="11.140625" bestFit="1" customWidth="1"/>
  </cols>
  <sheetData>
    <row r="1" spans="1:2" x14ac:dyDescent="0.25">
      <c r="A1" t="s">
        <v>0</v>
      </c>
      <c r="B1" t="s">
        <v>117</v>
      </c>
    </row>
    <row r="2" spans="1:2" x14ac:dyDescent="0.25">
      <c r="A2" t="s">
        <v>118</v>
      </c>
      <c r="B2" t="s">
        <v>119</v>
      </c>
    </row>
    <row r="3" spans="1:2" x14ac:dyDescent="0.25">
      <c r="A3" t="s">
        <v>120</v>
      </c>
      <c r="B3" t="s">
        <v>119</v>
      </c>
    </row>
    <row r="4" spans="1:2" x14ac:dyDescent="0.25">
      <c r="A4" t="s">
        <v>121</v>
      </c>
      <c r="B4" t="s">
        <v>119</v>
      </c>
    </row>
    <row r="5" spans="1:2" x14ac:dyDescent="0.25">
      <c r="A5" t="s">
        <v>122</v>
      </c>
      <c r="B5" t="s">
        <v>119</v>
      </c>
    </row>
    <row r="6" spans="1:2" x14ac:dyDescent="0.25">
      <c r="A6" t="s">
        <v>123</v>
      </c>
      <c r="B6" t="s">
        <v>124</v>
      </c>
    </row>
    <row r="7" spans="1:2" x14ac:dyDescent="0.25">
      <c r="A7" t="s">
        <v>125</v>
      </c>
      <c r="B7" t="s">
        <v>119</v>
      </c>
    </row>
    <row r="8" spans="1:2" x14ac:dyDescent="0.25">
      <c r="A8" t="s">
        <v>110</v>
      </c>
      <c r="B8" t="s">
        <v>119</v>
      </c>
    </row>
    <row r="9" spans="1:2" x14ac:dyDescent="0.25">
      <c r="A9" t="s">
        <v>31</v>
      </c>
      <c r="B9" t="s">
        <v>119</v>
      </c>
    </row>
    <row r="10" spans="1:2" x14ac:dyDescent="0.25">
      <c r="A10" t="s">
        <v>15</v>
      </c>
      <c r="B10" t="s">
        <v>126</v>
      </c>
    </row>
    <row r="11" spans="1:2" x14ac:dyDescent="0.25">
      <c r="A11" t="s">
        <v>127</v>
      </c>
      <c r="B11" t="s">
        <v>126</v>
      </c>
    </row>
    <row r="12" spans="1:2" x14ac:dyDescent="0.25">
      <c r="A12" t="s">
        <v>82</v>
      </c>
      <c r="B12" t="s">
        <v>126</v>
      </c>
    </row>
    <row r="13" spans="1:2" x14ac:dyDescent="0.25">
      <c r="A13" t="s">
        <v>128</v>
      </c>
      <c r="B13" t="s">
        <v>119</v>
      </c>
    </row>
    <row r="14" spans="1:2" x14ac:dyDescent="0.25">
      <c r="A14" t="s">
        <v>64</v>
      </c>
      <c r="B14" t="s">
        <v>119</v>
      </c>
    </row>
    <row r="15" spans="1:2" x14ac:dyDescent="0.25">
      <c r="A15" t="s">
        <v>129</v>
      </c>
      <c r="B15" t="s">
        <v>119</v>
      </c>
    </row>
    <row r="16" spans="1:2" x14ac:dyDescent="0.25">
      <c r="A16" t="s">
        <v>130</v>
      </c>
      <c r="B16" t="s">
        <v>126</v>
      </c>
    </row>
    <row r="17" spans="1:2" x14ac:dyDescent="0.25">
      <c r="A17" t="s">
        <v>131</v>
      </c>
      <c r="B17" t="s">
        <v>119</v>
      </c>
    </row>
    <row r="18" spans="1:2" x14ac:dyDescent="0.25">
      <c r="A18" t="s">
        <v>132</v>
      </c>
      <c r="B18" t="s">
        <v>119</v>
      </c>
    </row>
    <row r="19" spans="1:2" x14ac:dyDescent="0.25">
      <c r="A19" t="s">
        <v>79</v>
      </c>
      <c r="B19" t="s">
        <v>119</v>
      </c>
    </row>
    <row r="20" spans="1:2" x14ac:dyDescent="0.25">
      <c r="A20" t="s">
        <v>133</v>
      </c>
      <c r="B20" t="s">
        <v>126</v>
      </c>
    </row>
    <row r="21" spans="1:2" x14ac:dyDescent="0.25">
      <c r="A21" t="s">
        <v>134</v>
      </c>
      <c r="B21" t="s">
        <v>119</v>
      </c>
    </row>
    <row r="22" spans="1:2" x14ac:dyDescent="0.25">
      <c r="A22" t="s">
        <v>135</v>
      </c>
      <c r="B22" t="s">
        <v>126</v>
      </c>
    </row>
    <row r="23" spans="1:2" x14ac:dyDescent="0.25">
      <c r="A23" t="s">
        <v>136</v>
      </c>
      <c r="B23" t="s">
        <v>126</v>
      </c>
    </row>
    <row r="24" spans="1:2" x14ac:dyDescent="0.25">
      <c r="A24" t="s">
        <v>137</v>
      </c>
      <c r="B24" t="s">
        <v>126</v>
      </c>
    </row>
    <row r="25" spans="1:2" x14ac:dyDescent="0.25">
      <c r="A25" t="s">
        <v>138</v>
      </c>
      <c r="B25" t="s">
        <v>119</v>
      </c>
    </row>
    <row r="26" spans="1:2" x14ac:dyDescent="0.25">
      <c r="A26" t="s">
        <v>139</v>
      </c>
      <c r="B26" t="s">
        <v>126</v>
      </c>
    </row>
    <row r="27" spans="1:2" x14ac:dyDescent="0.25">
      <c r="A27" t="s">
        <v>53</v>
      </c>
      <c r="B27" t="s">
        <v>119</v>
      </c>
    </row>
    <row r="28" spans="1:2" x14ac:dyDescent="0.25">
      <c r="A28" t="s">
        <v>56</v>
      </c>
      <c r="B28" t="s">
        <v>126</v>
      </c>
    </row>
    <row r="29" spans="1:2" x14ac:dyDescent="0.25">
      <c r="A29" t="s">
        <v>74</v>
      </c>
      <c r="B29" t="s">
        <v>126</v>
      </c>
    </row>
    <row r="30" spans="1:2" x14ac:dyDescent="0.25">
      <c r="A30" t="s">
        <v>140</v>
      </c>
      <c r="B30" t="s">
        <v>119</v>
      </c>
    </row>
    <row r="31" spans="1:2" x14ac:dyDescent="0.25">
      <c r="A31" t="s">
        <v>141</v>
      </c>
      <c r="B31" t="s">
        <v>126</v>
      </c>
    </row>
    <row r="32" spans="1:2" x14ac:dyDescent="0.25">
      <c r="A32" t="s">
        <v>142</v>
      </c>
      <c r="B32" t="s">
        <v>126</v>
      </c>
    </row>
    <row r="33" spans="1:2" x14ac:dyDescent="0.25">
      <c r="A33" t="s">
        <v>143</v>
      </c>
      <c r="B33" t="s">
        <v>126</v>
      </c>
    </row>
    <row r="34" spans="1:2" x14ac:dyDescent="0.25">
      <c r="A34" t="s">
        <v>65</v>
      </c>
      <c r="B34" t="s">
        <v>119</v>
      </c>
    </row>
    <row r="35" spans="1:2" x14ac:dyDescent="0.25">
      <c r="A35" t="s">
        <v>144</v>
      </c>
      <c r="B35" t="s">
        <v>126</v>
      </c>
    </row>
    <row r="36" spans="1:2" x14ac:dyDescent="0.25">
      <c r="A36" t="s">
        <v>18</v>
      </c>
      <c r="B36" t="s">
        <v>126</v>
      </c>
    </row>
    <row r="37" spans="1:2" x14ac:dyDescent="0.25">
      <c r="A37" t="s">
        <v>45</v>
      </c>
      <c r="B37" t="s">
        <v>124</v>
      </c>
    </row>
    <row r="38" spans="1:2" x14ac:dyDescent="0.25">
      <c r="A38" t="s">
        <v>145</v>
      </c>
      <c r="B38" t="s">
        <v>124</v>
      </c>
    </row>
    <row r="39" spans="1:2" x14ac:dyDescent="0.25">
      <c r="A39" t="s">
        <v>26</v>
      </c>
      <c r="B39" t="s">
        <v>124</v>
      </c>
    </row>
    <row r="40" spans="1:2" x14ac:dyDescent="0.25">
      <c r="A40" t="s">
        <v>146</v>
      </c>
      <c r="B40" t="s">
        <v>124</v>
      </c>
    </row>
    <row r="41" spans="1:2" x14ac:dyDescent="0.25">
      <c r="A41" t="s">
        <v>147</v>
      </c>
      <c r="B41" t="s">
        <v>124</v>
      </c>
    </row>
    <row r="42" spans="1:2" x14ac:dyDescent="0.25">
      <c r="A42" t="s">
        <v>148</v>
      </c>
      <c r="B42" t="s">
        <v>124</v>
      </c>
    </row>
    <row r="43" spans="1:2" x14ac:dyDescent="0.25">
      <c r="A43" t="s">
        <v>32</v>
      </c>
      <c r="B43" t="s">
        <v>124</v>
      </c>
    </row>
    <row r="44" spans="1:2" x14ac:dyDescent="0.25">
      <c r="A44" t="s">
        <v>149</v>
      </c>
      <c r="B44" t="s">
        <v>124</v>
      </c>
    </row>
    <row r="45" spans="1:2" x14ac:dyDescent="0.25">
      <c r="A45" t="s">
        <v>25</v>
      </c>
      <c r="B45" t="s">
        <v>124</v>
      </c>
    </row>
    <row r="46" spans="1:2" x14ac:dyDescent="0.25">
      <c r="A46" t="s">
        <v>75</v>
      </c>
      <c r="B46" t="s">
        <v>124</v>
      </c>
    </row>
    <row r="47" spans="1:2" x14ac:dyDescent="0.25">
      <c r="A47" t="s">
        <v>69</v>
      </c>
      <c r="B47" t="s">
        <v>124</v>
      </c>
    </row>
    <row r="48" spans="1:2" x14ac:dyDescent="0.25">
      <c r="A48" t="s">
        <v>70</v>
      </c>
      <c r="B48" t="s">
        <v>124</v>
      </c>
    </row>
    <row r="49" spans="1:2" x14ac:dyDescent="0.25">
      <c r="A49" t="s">
        <v>34</v>
      </c>
      <c r="B49" t="s">
        <v>124</v>
      </c>
    </row>
    <row r="50" spans="1:2" x14ac:dyDescent="0.25">
      <c r="A50" t="s">
        <v>68</v>
      </c>
      <c r="B50" t="s">
        <v>124</v>
      </c>
    </row>
    <row r="51" spans="1:2" x14ac:dyDescent="0.25">
      <c r="A51" t="s">
        <v>57</v>
      </c>
      <c r="B51" t="s">
        <v>124</v>
      </c>
    </row>
    <row r="52" spans="1:2" x14ac:dyDescent="0.25">
      <c r="A52" t="s">
        <v>41</v>
      </c>
      <c r="B52" t="s">
        <v>119</v>
      </c>
    </row>
    <row r="53" spans="1:2" x14ac:dyDescent="0.25">
      <c r="A53" t="s">
        <v>150</v>
      </c>
      <c r="B53" t="s">
        <v>126</v>
      </c>
    </row>
    <row r="54" spans="1:2" x14ac:dyDescent="0.25">
      <c r="A54" t="s">
        <v>151</v>
      </c>
      <c r="B54" t="s">
        <v>119</v>
      </c>
    </row>
    <row r="55" spans="1:2" x14ac:dyDescent="0.25">
      <c r="A55" t="s">
        <v>152</v>
      </c>
      <c r="B55" t="s">
        <v>126</v>
      </c>
    </row>
    <row r="56" spans="1:2" x14ac:dyDescent="0.25">
      <c r="A56" t="s">
        <v>153</v>
      </c>
      <c r="B56" t="s">
        <v>119</v>
      </c>
    </row>
    <row r="57" spans="1:2" x14ac:dyDescent="0.25">
      <c r="A57" t="s">
        <v>44</v>
      </c>
      <c r="B57" t="s">
        <v>126</v>
      </c>
    </row>
    <row r="58" spans="1:2" x14ac:dyDescent="0.25">
      <c r="A58" t="s">
        <v>60</v>
      </c>
      <c r="B58" t="s">
        <v>126</v>
      </c>
    </row>
    <row r="59" spans="1:2" x14ac:dyDescent="0.25">
      <c r="A59" t="s">
        <v>154</v>
      </c>
      <c r="B59" t="s">
        <v>126</v>
      </c>
    </row>
    <row r="60" spans="1:2" x14ac:dyDescent="0.25">
      <c r="A60" t="s">
        <v>155</v>
      </c>
      <c r="B60" t="s">
        <v>126</v>
      </c>
    </row>
    <row r="61" spans="1:2" x14ac:dyDescent="0.25">
      <c r="A61" t="s">
        <v>156</v>
      </c>
      <c r="B61" t="s">
        <v>126</v>
      </c>
    </row>
    <row r="62" spans="1:2" x14ac:dyDescent="0.25">
      <c r="A62" t="s">
        <v>157</v>
      </c>
      <c r="B62" t="s">
        <v>124</v>
      </c>
    </row>
    <row r="63" spans="1:2" x14ac:dyDescent="0.25">
      <c r="A63" t="s">
        <v>51</v>
      </c>
      <c r="B63" t="s">
        <v>124</v>
      </c>
    </row>
    <row r="64" spans="1:2" x14ac:dyDescent="0.25">
      <c r="A64" t="s">
        <v>28</v>
      </c>
      <c r="B64" t="s">
        <v>124</v>
      </c>
    </row>
    <row r="65" spans="1:2" x14ac:dyDescent="0.25">
      <c r="A65" t="s">
        <v>158</v>
      </c>
      <c r="B65" t="s">
        <v>124</v>
      </c>
    </row>
    <row r="66" spans="1:2" x14ac:dyDescent="0.25">
      <c r="A66" t="s">
        <v>96</v>
      </c>
      <c r="B66" t="s">
        <v>124</v>
      </c>
    </row>
    <row r="67" spans="1:2" x14ac:dyDescent="0.25">
      <c r="A67" t="s">
        <v>159</v>
      </c>
      <c r="B67" t="s">
        <v>126</v>
      </c>
    </row>
    <row r="68" spans="1:2" x14ac:dyDescent="0.25">
      <c r="A68" t="s">
        <v>37</v>
      </c>
      <c r="B68" t="s">
        <v>126</v>
      </c>
    </row>
    <row r="69" spans="1:2" x14ac:dyDescent="0.25">
      <c r="A69" t="s">
        <v>23</v>
      </c>
      <c r="B69" t="s">
        <v>119</v>
      </c>
    </row>
    <row r="70" spans="1:2" x14ac:dyDescent="0.25">
      <c r="A70" t="s">
        <v>77</v>
      </c>
      <c r="B70" t="s">
        <v>119</v>
      </c>
    </row>
    <row r="71" spans="1:2" x14ac:dyDescent="0.25">
      <c r="A71" t="s">
        <v>160</v>
      </c>
      <c r="B71" t="s">
        <v>126</v>
      </c>
    </row>
    <row r="72" spans="1:2" x14ac:dyDescent="0.25">
      <c r="A72" t="s">
        <v>161</v>
      </c>
      <c r="B72" t="s">
        <v>126</v>
      </c>
    </row>
    <row r="73" spans="1:2" x14ac:dyDescent="0.25">
      <c r="A73" t="s">
        <v>162</v>
      </c>
      <c r="B73" t="s">
        <v>126</v>
      </c>
    </row>
    <row r="74" spans="1:2" x14ac:dyDescent="0.25">
      <c r="A74" t="s">
        <v>163</v>
      </c>
      <c r="B74" t="s">
        <v>126</v>
      </c>
    </row>
    <row r="75" spans="1:2" x14ac:dyDescent="0.25">
      <c r="A75" t="s">
        <v>164</v>
      </c>
      <c r="B75" t="s">
        <v>126</v>
      </c>
    </row>
    <row r="76" spans="1:2" x14ac:dyDescent="0.25">
      <c r="A76" t="s">
        <v>165</v>
      </c>
      <c r="B76" t="s">
        <v>126</v>
      </c>
    </row>
    <row r="77" spans="1:2" x14ac:dyDescent="0.25">
      <c r="A77" t="s">
        <v>73</v>
      </c>
      <c r="B77" t="s">
        <v>124</v>
      </c>
    </row>
    <row r="78" spans="1:2" x14ac:dyDescent="0.25">
      <c r="A78" t="s">
        <v>46</v>
      </c>
      <c r="B78" t="s">
        <v>119</v>
      </c>
    </row>
    <row r="79" spans="1:2" x14ac:dyDescent="0.25">
      <c r="A79" t="s">
        <v>166</v>
      </c>
      <c r="B79" t="s">
        <v>126</v>
      </c>
    </row>
    <row r="80" spans="1:2" x14ac:dyDescent="0.25">
      <c r="A80" t="s">
        <v>167</v>
      </c>
      <c r="B80" t="s">
        <v>126</v>
      </c>
    </row>
    <row r="81" spans="1:2" x14ac:dyDescent="0.25">
      <c r="A81" t="s">
        <v>168</v>
      </c>
      <c r="B81" t="s">
        <v>119</v>
      </c>
    </row>
    <row r="82" spans="1:2" x14ac:dyDescent="0.25">
      <c r="A82" t="s">
        <v>59</v>
      </c>
      <c r="B82" t="s">
        <v>119</v>
      </c>
    </row>
    <row r="83" spans="1:2" x14ac:dyDescent="0.25">
      <c r="A83" t="s">
        <v>169</v>
      </c>
      <c r="B83" t="s">
        <v>126</v>
      </c>
    </row>
    <row r="84" spans="1:2" x14ac:dyDescent="0.25">
      <c r="A84" t="s">
        <v>170</v>
      </c>
      <c r="B84" t="s">
        <v>124</v>
      </c>
    </row>
    <row r="85" spans="1:2" x14ac:dyDescent="0.25">
      <c r="A85" t="s">
        <v>22</v>
      </c>
      <c r="B85" t="s">
        <v>124</v>
      </c>
    </row>
    <row r="86" spans="1:2" x14ac:dyDescent="0.25">
      <c r="A86" t="s">
        <v>40</v>
      </c>
      <c r="B86" t="s">
        <v>124</v>
      </c>
    </row>
    <row r="87" spans="1:2" x14ac:dyDescent="0.25">
      <c r="A87" t="s">
        <v>80</v>
      </c>
      <c r="B87" t="s">
        <v>126</v>
      </c>
    </row>
    <row r="88" spans="1:2" x14ac:dyDescent="0.25">
      <c r="A88" t="s">
        <v>171</v>
      </c>
      <c r="B88" t="s">
        <v>126</v>
      </c>
    </row>
    <row r="89" spans="1:2" x14ac:dyDescent="0.25">
      <c r="A89" t="s">
        <v>29</v>
      </c>
      <c r="B89" t="s">
        <v>119</v>
      </c>
    </row>
    <row r="90" spans="1:2" x14ac:dyDescent="0.25">
      <c r="A90" t="s">
        <v>33</v>
      </c>
      <c r="B90" t="s">
        <v>119</v>
      </c>
    </row>
    <row r="91" spans="1:2" x14ac:dyDescent="0.25">
      <c r="A91" t="s">
        <v>38</v>
      </c>
      <c r="B91" t="s">
        <v>119</v>
      </c>
    </row>
    <row r="92" spans="1:2" x14ac:dyDescent="0.25">
      <c r="A92" t="s">
        <v>43</v>
      </c>
      <c r="B92" t="s">
        <v>124</v>
      </c>
    </row>
    <row r="93" spans="1:2" x14ac:dyDescent="0.25">
      <c r="A93" t="s">
        <v>172</v>
      </c>
      <c r="B93" t="s">
        <v>124</v>
      </c>
    </row>
    <row r="94" spans="1:2" x14ac:dyDescent="0.25">
      <c r="A94" t="s">
        <v>173</v>
      </c>
      <c r="B94" t="s">
        <v>124</v>
      </c>
    </row>
    <row r="95" spans="1:2" x14ac:dyDescent="0.25">
      <c r="A95" t="s">
        <v>50</v>
      </c>
      <c r="B95" t="s">
        <v>124</v>
      </c>
    </row>
    <row r="96" spans="1:2" x14ac:dyDescent="0.25">
      <c r="A96" t="s">
        <v>174</v>
      </c>
      <c r="B96" t="s">
        <v>126</v>
      </c>
    </row>
    <row r="97" spans="1:2" x14ac:dyDescent="0.25">
      <c r="A97" t="s">
        <v>175</v>
      </c>
      <c r="B97" t="s">
        <v>124</v>
      </c>
    </row>
    <row r="98" spans="1:2" x14ac:dyDescent="0.25">
      <c r="A98" t="s">
        <v>176</v>
      </c>
      <c r="B98" t="s">
        <v>124</v>
      </c>
    </row>
    <row r="99" spans="1:2" x14ac:dyDescent="0.25">
      <c r="A99" t="s">
        <v>177</v>
      </c>
      <c r="B99" t="s">
        <v>119</v>
      </c>
    </row>
    <row r="100" spans="1:2" x14ac:dyDescent="0.25">
      <c r="A100" t="s">
        <v>19</v>
      </c>
      <c r="B100" t="s">
        <v>119</v>
      </c>
    </row>
    <row r="101" spans="1:2" x14ac:dyDescent="0.25">
      <c r="A101" t="s">
        <v>178</v>
      </c>
      <c r="B101" t="s">
        <v>119</v>
      </c>
    </row>
    <row r="102" spans="1:2" x14ac:dyDescent="0.25">
      <c r="A102" t="s">
        <v>63</v>
      </c>
      <c r="B102" t="s">
        <v>119</v>
      </c>
    </row>
    <row r="103" spans="1:2" x14ac:dyDescent="0.25">
      <c r="A103" t="s">
        <v>179</v>
      </c>
      <c r="B103" t="s">
        <v>119</v>
      </c>
    </row>
    <row r="104" spans="1:2" x14ac:dyDescent="0.25">
      <c r="A104" t="s">
        <v>27</v>
      </c>
      <c r="B104" t="s">
        <v>126</v>
      </c>
    </row>
    <row r="105" spans="1:2" x14ac:dyDescent="0.25">
      <c r="A105" t="s">
        <v>100</v>
      </c>
      <c r="B105" t="s">
        <v>124</v>
      </c>
    </row>
    <row r="106" spans="1:2" x14ac:dyDescent="0.25">
      <c r="A106" t="s">
        <v>61</v>
      </c>
      <c r="B106" t="s">
        <v>124</v>
      </c>
    </row>
    <row r="107" spans="1:2" x14ac:dyDescent="0.25">
      <c r="A107" s="4" t="s">
        <v>111</v>
      </c>
      <c r="B107" s="4" t="s">
        <v>126</v>
      </c>
    </row>
    <row r="108" spans="1:2" x14ac:dyDescent="0.25">
      <c r="A108" s="4" t="s">
        <v>180</v>
      </c>
      <c r="B108" s="4" t="s">
        <v>126</v>
      </c>
    </row>
    <row r="109" spans="1:2" x14ac:dyDescent="0.25">
      <c r="A109" s="4" t="s">
        <v>114</v>
      </c>
      <c r="B109" s="4" t="s">
        <v>124</v>
      </c>
    </row>
    <row r="110" spans="1:2" x14ac:dyDescent="0.25">
      <c r="A110" s="4" t="s">
        <v>113</v>
      </c>
      <c r="B110" s="4" t="s">
        <v>126</v>
      </c>
    </row>
    <row r="111" spans="1:2" x14ac:dyDescent="0.25">
      <c r="A111" s="4" t="s">
        <v>78</v>
      </c>
      <c r="B111" s="4" t="s">
        <v>119</v>
      </c>
    </row>
    <row r="112" spans="1:2" x14ac:dyDescent="0.25">
      <c r="A112" s="4" t="s">
        <v>52</v>
      </c>
      <c r="B112" s="4" t="s">
        <v>119</v>
      </c>
    </row>
    <row r="113" spans="1:2" x14ac:dyDescent="0.25">
      <c r="A113" s="4" t="s">
        <v>42</v>
      </c>
      <c r="B113" s="4" t="s">
        <v>126</v>
      </c>
    </row>
    <row r="114" spans="1:2" x14ac:dyDescent="0.25">
      <c r="A114" s="4" t="s">
        <v>92</v>
      </c>
      <c r="B114" s="4" t="s">
        <v>126</v>
      </c>
    </row>
    <row r="115" spans="1:2" x14ac:dyDescent="0.25">
      <c r="A115" s="4" t="s">
        <v>84</v>
      </c>
      <c r="B115" s="4" t="s">
        <v>119</v>
      </c>
    </row>
    <row r="116" spans="1:2" x14ac:dyDescent="0.25">
      <c r="A116" s="4" t="s">
        <v>85</v>
      </c>
      <c r="B116" s="4" t="s">
        <v>126</v>
      </c>
    </row>
    <row r="117" spans="1:2" x14ac:dyDescent="0.25">
      <c r="A117" s="4" t="s">
        <v>35</v>
      </c>
      <c r="B117" s="4" t="s">
        <v>126</v>
      </c>
    </row>
    <row r="118" spans="1:2" x14ac:dyDescent="0.25">
      <c r="A118" s="4" t="s">
        <v>36</v>
      </c>
      <c r="B118" s="4" t="s">
        <v>126</v>
      </c>
    </row>
    <row r="119" spans="1:2" x14ac:dyDescent="0.25">
      <c r="A119" s="4" t="s">
        <v>55</v>
      </c>
      <c r="B119" s="4" t="s">
        <v>119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3E2961-F951-4F46-9837-10EB5CAFE2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Summary</vt:lpstr>
      <vt:lpstr>Novembro 2024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Miranda</dc:creator>
  <cp:lastModifiedBy>Beatriz Melo</cp:lastModifiedBy>
  <dcterms:created xsi:type="dcterms:W3CDTF">2024-12-03T13:53:15Z</dcterms:created>
  <dcterms:modified xsi:type="dcterms:W3CDTF">2024-12-06T14:54:25Z</dcterms:modified>
</cp:coreProperties>
</file>