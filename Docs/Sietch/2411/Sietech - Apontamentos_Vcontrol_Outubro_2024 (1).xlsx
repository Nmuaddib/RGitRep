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24-Setembro\"/>
    </mc:Choice>
  </mc:AlternateContent>
  <xr:revisionPtr revIDLastSave="0" documentId="8_{5BA185A0-15D8-485F-ADE3-DB7833E23666}" xr6:coauthVersionLast="47" xr6:coauthVersionMax="47" xr10:uidLastSave="{00000000-0000-0000-0000-000000000000}"/>
  <bookViews>
    <workbookView xWindow="-120" yWindow="-120" windowWidth="29040" windowHeight="15720" xr2:uid="{8279D16F-60BF-4B47-8FA0-76134762FD84}"/>
  </bookViews>
  <sheets>
    <sheet name="Planilha2" sheetId="8" r:id="rId1"/>
    <sheet name="Outubro 2024" sheetId="6" r:id="rId2"/>
    <sheet name="Vlookup" sheetId="7" r:id="rId3"/>
  </sheets>
  <definedNames>
    <definedName name="DadosExternos_1" localSheetId="1" hidden="1">'Outubro 2024'!$A$1:$Q$39</definedName>
  </definedNames>
  <calcPr calcId="191029"/>
  <pivotCaches>
    <pivotCache cacheId="2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6" l="1"/>
  <c r="P2" i="6" s="1"/>
  <c r="R2" i="6"/>
  <c r="O3" i="6"/>
  <c r="P3" i="6" s="1"/>
  <c r="R3" i="6"/>
  <c r="O4" i="6"/>
  <c r="P4" i="6" s="1"/>
  <c r="R4" i="6"/>
  <c r="O5" i="6"/>
  <c r="P5" i="6" s="1"/>
  <c r="R5" i="6"/>
  <c r="O6" i="6"/>
  <c r="P6" i="6"/>
  <c r="R6" i="6"/>
  <c r="O7" i="6"/>
  <c r="P7" i="6" s="1"/>
  <c r="R7" i="6"/>
  <c r="O8" i="6"/>
  <c r="P8" i="6" s="1"/>
  <c r="R8" i="6"/>
  <c r="O9" i="6"/>
  <c r="P9" i="6" s="1"/>
  <c r="R9" i="6"/>
  <c r="O10" i="6"/>
  <c r="P10" i="6" s="1"/>
  <c r="R10" i="6"/>
  <c r="O11" i="6"/>
  <c r="P11" i="6" s="1"/>
  <c r="R11" i="6"/>
  <c r="O12" i="6"/>
  <c r="P12" i="6" s="1"/>
  <c r="R12" i="6"/>
  <c r="P13" i="6"/>
  <c r="R13" i="6"/>
  <c r="P14" i="6"/>
  <c r="R14" i="6"/>
  <c r="P15" i="6"/>
  <c r="R15" i="6"/>
  <c r="P16" i="6"/>
  <c r="R16" i="6"/>
  <c r="P17" i="6"/>
  <c r="R17" i="6"/>
  <c r="P18" i="6"/>
  <c r="R18" i="6"/>
  <c r="P19" i="6"/>
  <c r="R19" i="6"/>
  <c r="P20" i="6"/>
  <c r="R20" i="6"/>
  <c r="P21" i="6"/>
  <c r="R21" i="6"/>
  <c r="P22" i="6"/>
  <c r="R22" i="6"/>
  <c r="P23" i="6"/>
  <c r="R23" i="6"/>
  <c r="P24" i="6"/>
  <c r="R24" i="6"/>
  <c r="P25" i="6"/>
  <c r="R25" i="6"/>
  <c r="P26" i="6"/>
  <c r="R26" i="6"/>
  <c r="P27" i="6"/>
  <c r="R27" i="6"/>
  <c r="P28" i="6"/>
  <c r="R28" i="6"/>
  <c r="P29" i="6"/>
  <c r="R29" i="6"/>
  <c r="P30" i="6"/>
  <c r="R30" i="6"/>
  <c r="P31" i="6"/>
  <c r="R31" i="6"/>
  <c r="P32" i="6"/>
  <c r="R32" i="6"/>
  <c r="P33" i="6"/>
  <c r="R33" i="6"/>
  <c r="O34" i="6"/>
  <c r="P34" i="6" s="1"/>
  <c r="R34" i="6"/>
  <c r="P35" i="6"/>
  <c r="R35" i="6"/>
  <c r="P36" i="6"/>
  <c r="R36" i="6"/>
  <c r="P37" i="6"/>
  <c r="R37" i="6"/>
  <c r="P38" i="6"/>
  <c r="R38" i="6"/>
  <c r="O39" i="6"/>
  <c r="P39" i="6" s="1"/>
  <c r="R3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66083-2994-43A2-9DEF-B778E046970F}" keepAlive="1" name="Consulta - ApprovedTimeReport_000_2024106" description="Conexão com a consulta 'ApprovedTimeReport_000_2024106' na pasta de trabalho." type="5" refreshedVersion="0" background="1">
    <dbPr connection="Provider=Microsoft.Mashup.OleDb.1;Data Source=$Workbook$;Location=ApprovedTimeReport_000_2024106;Extended Properties=&quot;&quot;" command="SELECT * FROM [ApprovedTimeReport_000_2024106]"/>
  </connection>
  <connection id="2" xr16:uid="{0EB4F40B-B978-4669-A534-ACA13EA2D3AA}" keepAlive="1" name="Consulta - ApprovedTimeReport_001_2024106" description="Conexão com a consulta 'ApprovedTimeReport_001_2024106' na pasta de trabalho." type="5" refreshedVersion="0" background="1">
    <dbPr connection="Provider=Microsoft.Mashup.OleDb.1;Data Source=$Workbook$;Location=ApprovedTimeReport_001_2024106;Extended Properties=&quot;&quot;" command="SELECT * FROM [ApprovedTimeReport_001_2024106]"/>
  </connection>
  <connection id="3" xr16:uid="{8B0BA818-23C7-45B7-B882-BFD796E2AC32}" keepAlive="1" name="Consulta - ApprovedTimeReport_001_2024106 (2)" description="Conexão com a consulta 'ApprovedTimeReport_001_2024106 (2)' na pasta de trabalho." type="5" refreshedVersion="0" background="1">
    <dbPr connection="Provider=Microsoft.Mashup.OleDb.1;Data Source=$Workbook$;Location=&quot;ApprovedTimeReport_001_2024106 (2)&quot;;Extended Properties=&quot;&quot;" command="SELECT * FROM [ApprovedTimeReport_001_2024106 (2)]"/>
  </connection>
  <connection id="4" xr16:uid="{78EE5E4F-C3EA-44E5-A022-DE3C98903FA8}" keepAlive="1" name="Consulta - ApprovedTimeReport_002_2024106" description="Conexão com a consulta 'ApprovedTimeReport_002_2024106' na pasta de trabalho." type="5" refreshedVersion="8" background="1" saveData="1">
    <dbPr connection="Provider=Microsoft.Mashup.OleDb.1;Data Source=$Workbook$;Location=ApprovedTimeReport_002_2024106;Extended Properties=&quot;&quot;" command="SELECT * FROM [ApprovedTimeReport_002_2024106]"/>
  </connection>
</connections>
</file>

<file path=xl/sharedStrings.xml><?xml version="1.0" encoding="utf-8"?>
<sst xmlns="http://schemas.openxmlformats.org/spreadsheetml/2006/main" count="529" uniqueCount="187">
  <si>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</si>
  <si>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</si>
  <si>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</si>
  <si>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</si>
  <si>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</si>
  <si>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</si>
  <si>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</si>
  <si>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</si>
  <si>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</si>
  <si>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</si>
  <si>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</si>
  <si>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</si>
  <si>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</si>
  <si>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</si>
  <si>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</si>
  <si>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131-VckAut</t>
  </si>
  <si>
    <t>SOW</t>
  </si>
  <si>
    <t>Project Manager</t>
  </si>
  <si>
    <t>151-VckTow</t>
  </si>
  <si>
    <t>NB01</t>
  </si>
  <si>
    <t>NB-Squad_DevTec</t>
  </si>
  <si>
    <t>Vockan Consulting Ltda</t>
  </si>
  <si>
    <t>5012-VCK446</t>
  </si>
  <si>
    <t>NB-Projetos e Consultoria</t>
  </si>
  <si>
    <t>Joyson safety System Brasil Ltda</t>
  </si>
  <si>
    <t>NB-Consultoria-Tec&amp;Dev</t>
  </si>
  <si>
    <t>Sietech</t>
  </si>
  <si>
    <t>Nelson Simoes</t>
  </si>
  <si>
    <t>Program Manager</t>
  </si>
  <si>
    <t>Alinhamento com Gabriel, propostas no bitrix, scrum, reunião com cliente - HUF , reunião com cliente - Visteon, v-control</t>
  </si>
  <si>
    <t>496-VCK472</t>
  </si>
  <si>
    <t>002-VCKDSCPQAD</t>
  </si>
  <si>
    <t>NB-BPO e PMO</t>
  </si>
  <si>
    <t>484-VCK514</t>
  </si>
  <si>
    <t>OXBO DO BRASIL EQUIPAMENTOS</t>
  </si>
  <si>
    <t>A7lAPT28665</t>
  </si>
  <si>
    <t>APTIV Man e Serv de Distr. Ltda</t>
  </si>
  <si>
    <t>DOSCOBQAD</t>
  </si>
  <si>
    <t>370-vck22</t>
  </si>
  <si>
    <t>448-VCK494</t>
  </si>
  <si>
    <t>HUF do Brasil Ltda</t>
  </si>
  <si>
    <t>362-VCK528</t>
  </si>
  <si>
    <t>2174-VCK448</t>
  </si>
  <si>
    <t>AMVAC do Brasil Representacoes</t>
  </si>
  <si>
    <t>406-VCK498</t>
  </si>
  <si>
    <t>480-VCK452</t>
  </si>
  <si>
    <t>4350-VCK514</t>
  </si>
  <si>
    <t>4320-VCK452</t>
  </si>
  <si>
    <t>434-VCK448</t>
  </si>
  <si>
    <t>SUP-Treinamento</t>
  </si>
  <si>
    <t>SUP-Reuniao</t>
  </si>
  <si>
    <t>SUP-Outros Projetos</t>
  </si>
  <si>
    <t>NBP-PE-PLAN12</t>
  </si>
  <si>
    <t>SUP-Apontamento</t>
  </si>
  <si>
    <t>NBP-PLAN17</t>
  </si>
  <si>
    <t>NBP-Implantacao-BPO</t>
  </si>
  <si>
    <t>NBP-PLAN107</t>
  </si>
  <si>
    <t>NBP-PLAN-112</t>
  </si>
  <si>
    <t>458-VCK492</t>
  </si>
  <si>
    <t>068-vckcar</t>
  </si>
  <si>
    <t>Alinhamento Higo, propostas pendentes, all hands, 1:1 com Andre, scrum, Alinhamento com funcionais</t>
  </si>
  <si>
    <t>876-VCK490</t>
  </si>
  <si>
    <t>952-VCK446</t>
  </si>
  <si>
    <t>NB-Universidades</t>
  </si>
  <si>
    <t>Revisão All Hands, Job Rotation Tiago Semidei, Alinhamento comercial com André, 1:1 Fábio, Monitoramento de recursos com Optidata, tickets com Pedro e Hilmar</t>
  </si>
  <si>
    <t>436-VCK520</t>
  </si>
  <si>
    <t>Sprint semanal com Exchange, BPO Operacional</t>
  </si>
  <si>
    <t>USP15072</t>
  </si>
  <si>
    <t>472-VCK450</t>
  </si>
  <si>
    <t>Scrum, alinhamento com André, reunião com Hilmar, V-control</t>
  </si>
  <si>
    <t>NBP-PE-PLAN10</t>
  </si>
  <si>
    <t>Visteon - Proposta, alinhamento TEC com Parpinelli, Scrum, Reforma tributária com Alan, apresentação Daniel X Guilherme Loss e roteiro comercial, Revisão de projetos V-Control, alinhamento com Fabio</t>
  </si>
  <si>
    <t>Visita Valmont - Alinhamento de BPO, Capacitação Exchange, 1:1 Andre, Bitrix</t>
  </si>
  <si>
    <t>452-VCK476</t>
  </si>
  <si>
    <t>Finalização de roteiro agilista</t>
  </si>
  <si>
    <t>Alinhamento de BPO Operacional Contabil</t>
  </si>
  <si>
    <t>Demandas de BPO X8 e 6 com Miguel Castaneda</t>
  </si>
  <si>
    <t>Tratamento de projeto JIT, demandas com Miguel Castaneda e Gabriel Brigo</t>
  </si>
  <si>
    <t>NB-Scrum-Dev</t>
  </si>
  <si>
    <t>Fechamento Sprint 17, plan sprint 18</t>
  </si>
  <si>
    <t>Fup Lifetec</t>
  </si>
  <si>
    <t>NB-Treinamento</t>
  </si>
  <si>
    <t>NBP-QADBR+_Lean</t>
  </si>
  <si>
    <t>4358-VCK510</t>
  </si>
  <si>
    <t>Atualização de bitrix, manutenção de v-control, projetos e aprovações, fup Lifetec</t>
  </si>
  <si>
    <t>Atualizações Bitrix, fup Lifetec, Alinhamento com Renato sobre Autokiniton, Scrum, reunião com Guilherme, 1:1 André</t>
  </si>
  <si>
    <t>NB-VCC</t>
  </si>
  <si>
    <t>944-VCK528</t>
  </si>
  <si>
    <t>Documentação de projetos, Nuvem Visteon, revisão de tickets com Pedro, Alinhamento com Hilmar e Kaune, alinhamento de Autokiniton com André</t>
  </si>
  <si>
    <t>NB-MKT</t>
  </si>
  <si>
    <t>Congresso Industria Digital, alinhamento com Hilmar, Scrum</t>
  </si>
  <si>
    <t>Reestrutuação dev com Hilmar, reunião com André, testes integração Bitrix - Mail, scrum</t>
  </si>
  <si>
    <t>154-vckZF</t>
  </si>
  <si>
    <t>Alinhamento com Guilherme, horas planejadas no v-control com Fabio, restruturação DEV com Sildemar, alinhamento Mueller com Thiago, reunião com Cestari</t>
  </si>
  <si>
    <t>Revisão de material MKT para site, BPO e Agilista</t>
  </si>
  <si>
    <t>Reunião para tratamento de Issues do Q-Extend, alinhamento com William e Fabio para update de chamado, tratativa com Roso e André sobre blçoqueio de sistema no periodo da noite</t>
  </si>
  <si>
    <t>Reunião gerencial, Alinhamento com Daniel sobre prospecção, projetos no v-control</t>
  </si>
  <si>
    <t>890-VCK500</t>
  </si>
  <si>
    <t>Entrevista de onboarding com Raissa, scrum, oportunidades Bitrix, Alinhamento Zeiss DEV-Projetos</t>
  </si>
  <si>
    <t>Acompanhamento de problemas de lentidão no ambiente, reunião com Parpinelli para emissão de relatório de scan de ambiente, Reunião com André para mobilização de Sildemar para analise do Q-Extend</t>
  </si>
  <si>
    <t>Planejamento de demandas de desenvolvimento, cotações de novos trabalhos</t>
  </si>
  <si>
    <t>Planejamento de demandas 444,126,127, 134, 290, 381, 346, 387</t>
  </si>
  <si>
    <t>1:1 André, plan sprint 17, Alinhamento Auto Kiniton, Alinhamento oxbo Folha, Roteiro Agilista com Daniel, Alinhamento demanda HUF</t>
  </si>
  <si>
    <t>Apresentação Solides, FUP Adium, Reuniáo com Parpinelli, Visita Mueller</t>
  </si>
  <si>
    <t>Controle de demandas 431 e 465.</t>
  </si>
  <si>
    <t>Acompanhamento de demanda 262</t>
  </si>
  <si>
    <t>888-vck446</t>
  </si>
  <si>
    <t>Reuniões com Ederson e Walter Braz, planejamento no v-control com André, scrum, tratamento de issues autokiniton</t>
  </si>
  <si>
    <t>968-vck452</t>
  </si>
  <si>
    <t>Reunião sobre Bitrix com Andre, tickets com Pedro, alinhamento oxbo, scrum, Alinhamento com Parpinelli sobre Tiago, health score com Thiago</t>
  </si>
  <si>
    <t>Solides, capacitação exchange, alinhamento oxbo, tratativa Valmont com Alan</t>
  </si>
  <si>
    <t>Roteiro devolutiva com Exchange</t>
  </si>
  <si>
    <t>Alinhamento Bitrix com Fabio, Alinhamento BPO com Thiago, scrum</t>
  </si>
  <si>
    <t>FUP Comercial, entrevista com Sergio Gabriel, reunião com Geraldo, Scrum, Alinhamento TEC, fup contratação squad</t>
  </si>
  <si>
    <t>Alinhamento de projeto com cliente</t>
  </si>
  <si>
    <t>4520-VCK472</t>
  </si>
  <si>
    <t>NBP-WEBUI-LOC</t>
  </si>
  <si>
    <t>Tratamento de projeto JIT com Fábio e Marcia</t>
  </si>
  <si>
    <t>NBP-PREVENDA</t>
  </si>
  <si>
    <t>NBP-CAIOBA</t>
  </si>
  <si>
    <t>NBP-WEBUI-FIN</t>
  </si>
  <si>
    <t>NBP-AMCHAM</t>
  </si>
  <si>
    <t>CostRate w/ Taxes</t>
  </si>
  <si>
    <t>Total Cost</t>
  </si>
  <si>
    <t>Project Type</t>
  </si>
  <si>
    <t>074-Vckadi</t>
  </si>
  <si>
    <t>FF</t>
  </si>
  <si>
    <t>095-vckadi</t>
  </si>
  <si>
    <t>128-VckAdi</t>
  </si>
  <si>
    <t>806-Vck446</t>
  </si>
  <si>
    <t>NB-Support</t>
  </si>
  <si>
    <t>NB</t>
  </si>
  <si>
    <t>049-VckAmv</t>
  </si>
  <si>
    <t>089-vckand</t>
  </si>
  <si>
    <t>T&amp;M</t>
  </si>
  <si>
    <t>010-VckBim</t>
  </si>
  <si>
    <t>115-VCKCER</t>
  </si>
  <si>
    <t>090-VckCnh</t>
  </si>
  <si>
    <t>368-VCK490</t>
  </si>
  <si>
    <t>100-VckHan</t>
  </si>
  <si>
    <t>043-VckHuf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</si>
  <si>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</si>
  <si>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</si>
  <si>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</si>
  <si>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</si>
  <si>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</si>
  <si>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</si>
  <si>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</si>
  <si>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</si>
  <si>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</si>
  <si>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</si>
  <si>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</si>
  <si>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VCK692</t>
  </si>
  <si>
    <t>NB-CloudCert2023</t>
  </si>
  <si>
    <t>NBP-Capacitacao</t>
  </si>
  <si>
    <t>NBP-Governanca</t>
  </si>
  <si>
    <t>155-vckZF</t>
  </si>
  <si>
    <t>088-VckZod</t>
  </si>
  <si>
    <t>097+110-vckadi</t>
  </si>
  <si>
    <t>127-VckAdi</t>
  </si>
  <si>
    <t>788-VCK692</t>
  </si>
  <si>
    <t>858-VCK488</t>
  </si>
  <si>
    <t>ZF_894-VCK542</t>
  </si>
  <si>
    <t>NBP-PE-PLAN23</t>
  </si>
  <si>
    <t>CSA</t>
  </si>
  <si>
    <t>860-VCK562</t>
  </si>
  <si>
    <t>862-VCK538</t>
  </si>
  <si>
    <t>884-VCK526</t>
  </si>
  <si>
    <t>886-VCK704</t>
  </si>
  <si>
    <t>1062-VCK466</t>
  </si>
  <si>
    <t>826-VCK504</t>
  </si>
  <si>
    <t>970-VCK514</t>
  </si>
  <si>
    <t>786-VCK538</t>
  </si>
  <si>
    <t>950-VCK862</t>
  </si>
  <si>
    <t>984-VCK538</t>
  </si>
  <si>
    <t>NBP-Trein_Vendas</t>
  </si>
  <si>
    <t>976-VCK510</t>
  </si>
  <si>
    <t>059-VckAdi</t>
  </si>
  <si>
    <t>Rótulos de Linha</t>
  </si>
  <si>
    <t>Total Geral</t>
  </si>
  <si>
    <t>Soma de Time Actual</t>
  </si>
  <si>
    <t>Soma de Total Cost</t>
  </si>
  <si>
    <t>Sietech Total</t>
  </si>
  <si>
    <t>NB Total</t>
  </si>
  <si>
    <t>FF Total</t>
  </si>
  <si>
    <t>BRP2289</t>
  </si>
  <si>
    <t>BRP2290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</si>
</sst>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2" borderId="0" xfId="0" applyFill="1"/>
    <xf numFmtId="43" fontId="0" fillId="0" borderId="0" xfId="0" applyNumberFormat="1"/>
    <xf numFmtId="0" fontId="0" fillId="0" borderId="0" xfId="0" pivotButton="1"/>
    <xf numFmtId="164" fontId="0" fillId="0" borderId="0" xfId="0" applyNumberFormat="1"/>
    <xf numFmtId="164" fontId="0" fillId="2" borderId="0" xfId="0" applyNumberFormat="1" applyFill="1"/>
    <xf numFmtId="0" fontId="2" fillId="3" borderId="0" xfId="0" applyFont="1" applyFill="1"/>
    <xf numFmtId="164" fontId="2" fillId="3" borderId="0" xfId="0" applyNumberFormat="1" applyFont="1" applyFill="1"/>
    <xf numFmtId="165" fontId="0" fillId="0" borderId="0" xfId="0" applyNumberFormat="1"/>
    <xf numFmtId="165" fontId="0" fillId="2" borderId="0" xfId="0" applyNumberFormat="1" applyFill="1"/>
    <xf numFmtId="165" fontId="2" fillId="3" borderId="0" xfId="0" applyNumberFormat="1" applyFont="1" applyFill="1"/>
  </cellXfs>
  <cellStyles count="2">
    <cellStyle name="Normal" xfId="0" builtinId="0"/>
    <cellStyle name="Vírgula" xfId="1" builtinId="3"/>
  </cellStyles>
  <dxfs count="36">
    <dxf>
      <fill>
        <patternFill patternType="solid">
          <bgColor rgb="FFFFFF00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3" tint="0.749992370372631"/>
        </patternFill>
      </fill>
    </dxf>
    <dxf>
      <numFmt numFmtId="35" formatCode="_-* #,##0.00_-;\-* #,##0.00_-;_-* &quot;-&quot;??_-;_-@_-"/>
    </dxf>
    <dxf>
      <numFmt numFmtId="165" formatCode="#,##0_ ;\-#,##0\ "/>
    </dxf>
    <dxf>
      <font>
        <b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3" tint="0.749992370372631"/>
        </patternFill>
      </fill>
    </dxf>
    <dxf>
      <numFmt numFmtId="35" formatCode="_-* #,##0.00_-;\-* #,##0.00_-;_-* &quot;-&quot;??_-;_-@_-"/>
    </dxf>
    <dxf>
      <numFmt numFmtId="165" formatCode="#,##0_ ;\-#,##0\ "/>
    </dxf>
    <dxf>
      <font>
        <b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8" formatCode="m/d/yyyy"/>
    </dxf>
    <dxf>
      <numFmt numFmtId="19" formatCode="dd/mm/yyyy"/>
    </dxf>
    <dxf>
      <numFmt numFmtId="168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604.514948611111" createdVersion="6" refreshedVersion="8" minRefreshableVersion="3" recordCount="1589" xr:uid="{1309AB57-2636-4FC6-9EA4-AF558E682D96}">
  <cacheSource type="worksheet">
    <worksheetSource ref="A1:R1048576" sheet="Outubro 2024"/>
  </cacheSource>
  <cacheFields count="18">
    <cacheField name="FunnelID" numFmtId="0">
      <sharedItems containsBlank="1" count="56">
        <s v="434-VCK448"/>
        <s v="480-VCK452"/>
        <s v="968-vck452"/>
        <s v="448-VCK494"/>
        <s v="406-VCK498"/>
        <s v="484-VCK514"/>
        <s v="NB-Consultoria-Tec&amp;Dev"/>
        <s v="NB-MKT"/>
        <s v="NBP-PE-PLAN10"/>
        <s v="NBP-PE-PLAN12"/>
        <s v="NB-Scrum-Dev"/>
        <m/>
        <s v="5012-VCK446" u="1"/>
        <s v="888-vck446" u="1"/>
        <s v="952-VCK446" u="1"/>
        <s v="370-vck22" u="1"/>
        <s v="2174-VCK448" u="1"/>
        <s v="472-VCK450" u="1"/>
        <s v="4320-VCK452" u="1"/>
        <s v="A7lAPT28665" u="1"/>
        <s v="131-VckAut" u="1"/>
        <s v="NB-Support" u="1"/>
        <s v="068-vckcar" u="1"/>
        <s v="4520-VCK472" u="1"/>
        <s v="496-VCK472" u="1"/>
        <s v="452-VCK476" u="1"/>
        <s v="876-VCK490" u="1"/>
        <s v="458-VCK492" u="1"/>
        <s v="890-VCK500" u="1"/>
        <s v="4358-VCK510" u="1"/>
        <s v="4350-VCK514" u="1"/>
        <s v="002-VCKDSCPQAD" u="1"/>
        <s v="CSA" u="1"/>
        <s v="436-VCK520" u="1"/>
        <s v="362-VCK528" u="1"/>
        <s v="944-VCK528" u="1"/>
        <s v="151-VckTow" u="1"/>
        <s v="NB-BPO e PMO" u="1"/>
        <s v="NBP-AMCHAM" u="1"/>
        <s v="NBP-CAIOBA" u="1"/>
        <s v="NBP-Implantacao-BPO" u="1"/>
        <s v="NBP-PLAN107" u="1"/>
        <s v="NBP-PLAN-112" u="1"/>
        <s v="NBP-PLAN17" u="1"/>
        <s v="NBP-PREVENDA" u="1"/>
        <s v="NBP-QADBR+_Lean" u="1"/>
        <s v="NB-Projetos e Consultoria" u="1"/>
        <s v="NBP-WEBUI-FIN" u="1"/>
        <s v="NBP-WEBUI-LOC" u="1"/>
        <s v="NB-Squad_DevTec" u="1"/>
        <s v="NB-Treinamento" u="1"/>
        <s v="NB-Universidades" u="1"/>
        <s v="NB-VCC" u="1"/>
        <s v="SUP-Outros Projetos" u="1"/>
        <s v="SUP-Reuniao" u="1"/>
        <s v="154-vckZF" u="1"/>
      </sharedItems>
    </cacheField>
    <cacheField name="Work Date" numFmtId="0">
      <sharedItems containsNonDate="0" containsDate="1" containsString="0" containsBlank="1" minDate="2024-10-01T00:00:00" maxDate="2024-11-01T00:00:00"/>
    </cacheField>
    <cacheField name="Date TimeSheet" numFmtId="0">
      <sharedItems containsNonDate="0" containsDate="1" containsString="0" containsBlank="1" minDate="2024-10-07T00:00:00" maxDate="2024-11-06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10" maxValue="10"/>
    </cacheField>
    <cacheField name="Day" numFmtId="0">
      <sharedItems containsString="0" containsBlank="1" containsNumber="1" containsInteger="1" minValue="1" maxValue="31"/>
    </cacheField>
    <cacheField name="Week" numFmtId="0">
      <sharedItems containsString="0" containsBlank="1" containsNumber="1" containsInteger="1" minValue="40" maxValue="44"/>
    </cacheField>
    <cacheField name="Time Actual" numFmtId="0">
      <sharedItems containsString="0" containsBlank="1" containsNumber="1" containsInteger="1" minValue="1" maxValue="10"/>
    </cacheField>
    <cacheField name="Company" numFmtId="0">
      <sharedItems containsBlank="1" count="30">
        <s v="Sietech"/>
        <m/>
        <s v="WTK" u="1"/>
        <s v="RUAH" u="1"/>
        <s v="TFA" u="1"/>
        <s v="Diando" u="1"/>
        <s v="PHL" u="1"/>
        <s v="DMS" u="1"/>
        <s v="CZ" u="1"/>
        <s v="Ceta" u="1"/>
        <s v="GMB SERVICOS INFORMATICA" u="1"/>
        <s v="CYP" u="1"/>
        <s v="NHvala" u="1"/>
        <s v="Domain Informatica" u="1"/>
        <s v="NEO" u="1"/>
        <s v="Web Working" u="1"/>
        <s v="FDV Gprojetos" u="1"/>
        <s v="LAAM" u="1"/>
        <s v="Dzyon" u="1"/>
        <s v="LF Solucoes TI" u="1"/>
        <s v="High Business" u="1"/>
        <s v="Vockan Consulting" u="1"/>
        <s v="ISL" u="1"/>
        <s v="DR Tecnologia" u="1"/>
        <s v="AGOB" u="1"/>
        <s v="Loss Consultoria" u="1"/>
        <s v="LGATTI" u="1"/>
        <s v="Bruno Bonadio Lopez" u="1"/>
        <s v="LC" u="1"/>
        <s v="Sergio Gabriel Junior" u="1"/>
      </sharedItems>
    </cacheField>
    <cacheField name="Resource Name" numFmtId="0">
      <sharedItems containsBlank="1" count="50">
        <s v="Nelson Simoes"/>
        <m/>
        <s v="Walter Augusto-vk" u="1"/>
        <s v="Pedro Silva-vk" u="1"/>
        <s v="Fabio Costa-vk" u="1"/>
        <s v="Benedito Souza-vk" u="1"/>
        <s v="Ederson Alexandre-vk" u="1"/>
        <s v="Andre Parpinelli-vk" u="1"/>
        <s v="Leandro Senna-vk" u="1"/>
        <s v="Walter Braz-vk" u="1"/>
        <s v="Eduardo Provenzano-vk" u="1"/>
        <s v="Diogo Aguiar-vk" u="1"/>
        <s v="Higo Scheunemann-vk" u="1"/>
        <s v="Thiago Queiros-vk" u="1"/>
        <s v="Renato Louzada-vk" u="1"/>
        <s v="Geraldo Silva-vk" u="1"/>
        <s v="Reginaldo Almeida-vk" u="1"/>
        <s v="Gabriel Brigo-vk" u="1"/>
        <s v="Leonardo Parrillo-vk" u="1"/>
        <s v="Nayara Hvala" u="1"/>
        <s v="Jan Lustig" u="1"/>
        <s v="Marcia Silva-vk" u="1"/>
        <s v="Edson Risso-vk" u="1"/>
        <s v="Sildemar Sousa-vk" u="1"/>
        <s v="Fernanda Dias-vk" u="1"/>
        <s v="Eduardo Moreno-vk" u="1"/>
        <s v="Luiz Alfredo-vk" u="1"/>
        <s v="Dzyon Consultant-vk" u="1"/>
        <s v="Leandro Francischinelli" u="1"/>
        <s v="Jefte Villar-vk" u="1"/>
        <s v="Miguel Castaneda-vk" u="1"/>
        <s v="Mario Bertachini" u="1"/>
        <s v="Willian Claros" u="1"/>
        <s v="Allan Oliveira" u="1"/>
        <s v="Vinicius Knipers-vk" u="1"/>
        <s v="Ismael Lopes-vk" u="1"/>
        <s v="Carlos Pitondo-vk" u="1"/>
        <s v="Daniel Amaral-vk" u="1"/>
        <s v="Tiago Semidei" u="1"/>
        <s v="Kauane Rocha" u="1"/>
        <s v="Ana Bispo" u="1"/>
        <s v="Guilherme Loss" u="1"/>
        <s v="Emerson Lopes" u="1"/>
        <s v="Marcelo Cunha-vk" u="1"/>
        <s v="Lincoln Gatti" u="1"/>
        <s v="Nilson Santana-vk" u="1"/>
        <s v="Giovana Rodrigues" u="1"/>
        <s v="Bruno Bonadio" u="1"/>
        <s v="Luciana Cavalcante-vk" u="1"/>
        <s v="Sergio Gabriel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w/ Taxes" numFmtId="0">
      <sharedItems containsString="0" containsBlank="1" containsNumber="1" minValue="-905.00275482093662" maxValue="2383.3388429752067" count="47">
        <n v="173.00275482093664"/>
        <n v="110"/>
        <n v="95.239669421487619"/>
        <m/>
        <n v="120.00000000000001" u="1"/>
        <n v="93.002754820936644" u="1"/>
        <n v="76.374655647382923" u="1"/>
        <n v="114.99724517906337" u="1"/>
        <n v="140" u="1"/>
        <n v="260.39669421487605" u="1"/>
        <n v="222" u="1"/>
        <n v="165.00275482093664" u="1"/>
        <n v="178.99724517906336" u="1"/>
        <n v="182.99724517906336" u="1"/>
        <n v="157.89531680440771" u="1"/>
        <n v="142.99724517906338" u="1"/>
        <n v="83.19559228650138" u="1"/>
        <n v="56" u="1"/>
        <n v="126.99724517906337" u="1"/>
        <n v="162" u="1"/>
        <n v="124" u="1"/>
        <n v="119" u="1"/>
        <n v="1719.0082644628101" u="1"/>
        <n v="160" u="1"/>
        <n v="145.00055096418731" u="1"/>
        <n v="127" u="1"/>
        <n v="190.00000000000003" u="1"/>
        <n v="61.663911845730027" u="1"/>
        <n v="96.000000000000014" u="1"/>
        <n v="32.143250688705237" u="1"/>
        <n v="112" u="1"/>
        <n v="40.00440771349863" u="1"/>
        <n v="190" u="1"/>
        <n v="29.983471074380166" u="1"/>
        <n v="72.363636363636374" u="1"/>
        <n v="22.391184573002757" u="1"/>
        <n v="195" u="1"/>
        <n v="150" u="1"/>
        <n v="65.002754820936644" u="1"/>
        <n v="180" u="1"/>
        <n v="94.997245179063356" u="1"/>
        <n v="118.99724517906336" u="1"/>
        <n v="27.162534435261708" u="1"/>
        <n v="57.696969696969695" u="1"/>
        <n v="86.247933884297524" u="1"/>
        <n v="-905.00275482093662" u="1"/>
        <n v="2383.3388429752067" u="1"/>
      </sharedItems>
    </cacheField>
    <cacheField name="Total Cost" numFmtId="0">
      <sharedItems containsString="0" containsBlank="1" containsNumber="1" minValue="110" maxValue="1100"/>
    </cacheField>
    <cacheField name="Customer Name" numFmtId="0">
      <sharedItems containsBlank="1"/>
    </cacheField>
    <cacheField name="Project Type" numFmtId="0">
      <sharedItems containsBlank="1" count="4">
        <s v="FF"/>
        <s v="NB"/>
        <m/>
        <s v="T&amp;M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9">
  <r>
    <x v="0"/>
    <d v="2024-10-23T00:00:00"/>
    <d v="2024-10-30T00:00:00"/>
    <s v="SOW"/>
    <n v="2024"/>
    <n v="10"/>
    <n v="23"/>
    <n v="43"/>
    <n v="1"/>
    <x v="0"/>
    <x v="0"/>
    <s v="Project Manager"/>
    <s v="Alinhamento de BPO Operacional Contabil"/>
    <n v="157"/>
    <x v="0"/>
    <n v="173.00275482093664"/>
    <s v="AMVAC do Brasil Representacoes"/>
    <x v="0"/>
  </r>
  <r>
    <x v="1"/>
    <d v="2024-10-23T00:00:00"/>
    <d v="2024-10-30T00:00:00"/>
    <s v="SOW"/>
    <n v="2024"/>
    <n v="10"/>
    <n v="23"/>
    <n v="43"/>
    <n v="2"/>
    <x v="0"/>
    <x v="0"/>
    <s v="Program Manager"/>
    <s v="Tratamento de projeto JIT, demandas com Miguel Castaneda e Gabriel Brigo"/>
    <n v="157"/>
    <x v="0"/>
    <n v="346.00550964187329"/>
    <s v="APTIV Man e Serv de Distr. Ltda"/>
    <x v="0"/>
  </r>
  <r>
    <x v="1"/>
    <d v="2024-10-09T00:00:00"/>
    <d v="2024-10-15T00:00:00"/>
    <s v="SOW"/>
    <n v="2024"/>
    <n v="10"/>
    <n v="9"/>
    <n v="41"/>
    <n v="2"/>
    <x v="0"/>
    <x v="0"/>
    <s v="Program Manager"/>
    <s v="Planejamento de demandas 444,126,127, 134, 290, 381, 346, 387"/>
    <n v="157"/>
    <x v="0"/>
    <n v="346.00550964187329"/>
    <s v="APTIV Man e Serv de Distr. Ltda"/>
    <x v="0"/>
  </r>
  <r>
    <x v="1"/>
    <d v="2024-10-08T00:00:00"/>
    <d v="2024-10-15T00:00:00"/>
    <s v="SOW"/>
    <n v="2024"/>
    <n v="10"/>
    <n v="8"/>
    <n v="41"/>
    <n v="1"/>
    <x v="0"/>
    <x v="0"/>
    <s v="Program Manager"/>
    <s v="Acompanhamento de demanda 262"/>
    <n v="157"/>
    <x v="0"/>
    <n v="173.00275482093664"/>
    <s v="APTIV Man e Serv de Distr. Ltda"/>
    <x v="0"/>
  </r>
  <r>
    <x v="2"/>
    <d v="2024-10-30T00:00:00"/>
    <d v="2024-11-05T00:00:00"/>
    <s v="SOW"/>
    <n v="2024"/>
    <n v="10"/>
    <n v="30"/>
    <n v="44"/>
    <n v="1"/>
    <x v="0"/>
    <x v="0"/>
    <s v="Project Manager"/>
    <s v="Tratamento de projeto JIT com Fábio e Marcia"/>
    <n v="157"/>
    <x v="0"/>
    <n v="173.00275482093664"/>
    <s v="APTIV Man e Serv de Distr. Ltda"/>
    <x v="1"/>
  </r>
  <r>
    <x v="3"/>
    <d v="2024-10-09T00:00:00"/>
    <d v="2024-10-15T00:00:00"/>
    <s v="SOW"/>
    <n v="2024"/>
    <n v="10"/>
    <n v="9"/>
    <n v="41"/>
    <n v="2"/>
    <x v="0"/>
    <x v="0"/>
    <s v="Program Manager"/>
    <s v="Planejamento de demandas de desenvolvimento, cotações de novos trabalhos"/>
    <n v="157"/>
    <x v="0"/>
    <n v="346.00550964187329"/>
    <s v="HUF do Brasil Ltda"/>
    <x v="0"/>
  </r>
  <r>
    <x v="4"/>
    <d v="2024-10-23T00:00:00"/>
    <d v="2024-10-30T00:00:00"/>
    <s v="SOW"/>
    <n v="2024"/>
    <n v="10"/>
    <n v="23"/>
    <n v="43"/>
    <n v="1"/>
    <x v="0"/>
    <x v="0"/>
    <s v="Program Manager"/>
    <s v="Demandas de BPO X8 e 6 com Miguel Castaneda"/>
    <n v="157"/>
    <x v="0"/>
    <n v="173.00275482093664"/>
    <s v="Joyson safety System Brasil Ltda"/>
    <x v="0"/>
  </r>
  <r>
    <x v="4"/>
    <d v="2024-10-11T00:00:00"/>
    <d v="2024-10-15T00:00:00"/>
    <s v="SOW"/>
    <n v="2024"/>
    <n v="10"/>
    <n v="11"/>
    <n v="41"/>
    <n v="3"/>
    <x v="0"/>
    <x v="0"/>
    <s v="Program Manager"/>
    <s v="Reunião para tratamento de Issues do Q-Extend, alinhamento com William e Fabio para update de chamado, tratativa com Roso e André sobre blçoqueio de sistema no periodo da noite"/>
    <n v="157"/>
    <x v="0"/>
    <n v="519.00826446280996"/>
    <s v="Joyson safety System Brasil Ltda"/>
    <x v="0"/>
  </r>
  <r>
    <x v="4"/>
    <d v="2024-10-10T00:00:00"/>
    <d v="2024-10-15T00:00:00"/>
    <s v="SOW"/>
    <n v="2024"/>
    <n v="10"/>
    <n v="10"/>
    <n v="41"/>
    <n v="2"/>
    <x v="0"/>
    <x v="0"/>
    <s v="Program Manager"/>
    <s v="Acompanhamento de problemas de lentidão no ambiente, reunião com Parpinelli para emissão de relatório de scan de ambiente, Reunião com André para mobilização de Sildemar para analise do Q-Extend"/>
    <n v="157"/>
    <x v="0"/>
    <n v="346.00550964187329"/>
    <s v="Joyson safety System Brasil Ltda"/>
    <x v="0"/>
  </r>
  <r>
    <x v="5"/>
    <d v="2024-10-08T00:00:00"/>
    <d v="2024-10-15T00:00:00"/>
    <s v="SOW"/>
    <n v="2024"/>
    <n v="10"/>
    <n v="8"/>
    <n v="41"/>
    <n v="1"/>
    <x v="0"/>
    <x v="0"/>
    <s v="Project Manager"/>
    <s v="Controle de demandas 431 e 465."/>
    <n v="157"/>
    <x v="0"/>
    <n v="173.00275482093664"/>
    <s v="OXBO DO BRASIL EQUIPAMENTOS"/>
    <x v="0"/>
  </r>
  <r>
    <x v="5"/>
    <d v="2024-10-01T00:00:00"/>
    <d v="2024-10-07T00:00:00"/>
    <s v="SOW"/>
    <n v="2024"/>
    <n v="10"/>
    <n v="1"/>
    <n v="40"/>
    <n v="1"/>
    <x v="0"/>
    <x v="0"/>
    <s v="Project Manager"/>
    <s v="Alinhamento de projeto com cliente"/>
    <n v="157"/>
    <x v="0"/>
    <n v="173.00275482093664"/>
    <s v="OXBO DO BRASIL EQUIPAMENTOS"/>
    <x v="0"/>
  </r>
  <r>
    <x v="6"/>
    <d v="2024-10-31T00:00:00"/>
    <d v="2024-11-05T00:00:00"/>
    <s v="NB01"/>
    <n v="2024"/>
    <n v="10"/>
    <n v="31"/>
    <n v="44"/>
    <n v="8"/>
    <x v="0"/>
    <x v="0"/>
    <s v="Program Manager"/>
    <s v="Alinhamento com Gabriel, propostas no bitrix, scrum, reunião com cliente - HUF , reunião com cliente - Visteon, v-control"/>
    <n v="99.83"/>
    <x v="1"/>
    <n v="880"/>
    <s v="Vockan Consulting Ltda"/>
    <x v="1"/>
  </r>
  <r>
    <x v="6"/>
    <d v="2024-10-30T00:00:00"/>
    <d v="2024-11-05T00:00:00"/>
    <s v="NB01"/>
    <n v="2024"/>
    <n v="10"/>
    <n v="30"/>
    <n v="44"/>
    <n v="7"/>
    <x v="0"/>
    <x v="0"/>
    <s v="Program Manager"/>
    <s v="Alinhamento Higo, propostas pendentes, all hands, 1:1 com Andre, scrum, Alinhamento com funcionais"/>
    <n v="99.83"/>
    <x v="1"/>
    <n v="770"/>
    <s v="Vockan Consulting Ltda"/>
    <x v="1"/>
  </r>
  <r>
    <x v="6"/>
    <d v="2024-10-29T00:00:00"/>
    <d v="2024-10-30T00:00:00"/>
    <s v="NB01"/>
    <n v="2024"/>
    <n v="10"/>
    <n v="29"/>
    <n v="44"/>
    <n v="7"/>
    <x v="0"/>
    <x v="0"/>
    <s v="Program Manager"/>
    <s v="Revisão All Hands, Job Rotation Tiago Semidei, Alinhamento comercial com André, 1:1 Fábio, Monitoramento de recursos com Optidata, tickets com Pedro e Hilmar"/>
    <n v="99.83"/>
    <x v="1"/>
    <n v="770"/>
    <s v="Vockan Consulting Ltda"/>
    <x v="1"/>
  </r>
  <r>
    <x v="6"/>
    <d v="2024-10-28T00:00:00"/>
    <d v="2024-10-30T00:00:00"/>
    <s v="NB01"/>
    <n v="2024"/>
    <n v="10"/>
    <n v="28"/>
    <n v="44"/>
    <n v="4"/>
    <x v="0"/>
    <x v="0"/>
    <s v="Program Manager"/>
    <s v="Scrum, alinhamento com André, reunião com Hilmar, V-control"/>
    <n v="99.83"/>
    <x v="1"/>
    <n v="440"/>
    <s v="Vockan Consulting Ltda"/>
    <x v="1"/>
  </r>
  <r>
    <x v="6"/>
    <d v="2024-10-25T00:00:00"/>
    <d v="2024-10-30T00:00:00"/>
    <s v="NB01"/>
    <n v="2024"/>
    <n v="10"/>
    <n v="25"/>
    <n v="43"/>
    <n v="10"/>
    <x v="0"/>
    <x v="0"/>
    <s v="Program Manager"/>
    <s v="Visteon - Proposta, alinhamento TEC com Parpinelli, Scrum, Reforma tributária com Alan, apresentação Daniel X Guilherme Loss e roteiro comercial, Revisão de projetos V-Control, alinhamento com Fabio"/>
    <n v="99.83"/>
    <x v="1"/>
    <n v="1100"/>
    <s v="Vockan Consulting Ltda"/>
    <x v="1"/>
  </r>
  <r>
    <x v="6"/>
    <d v="2024-10-24T00:00:00"/>
    <d v="2024-10-30T00:00:00"/>
    <s v="NB01"/>
    <n v="2024"/>
    <n v="10"/>
    <n v="24"/>
    <n v="43"/>
    <n v="7"/>
    <x v="0"/>
    <x v="0"/>
    <s v="Program Manager"/>
    <s v="Visita Valmont - Alinhamento de BPO, Capacitação Exchange, 1:1 Andre, Bitrix"/>
    <n v="99.83"/>
    <x v="1"/>
    <n v="770"/>
    <s v="Vockan Consulting Ltda"/>
    <x v="1"/>
  </r>
  <r>
    <x v="6"/>
    <d v="2024-10-22T00:00:00"/>
    <d v="2024-10-30T00:00:00"/>
    <s v="NB01"/>
    <n v="2024"/>
    <n v="10"/>
    <n v="22"/>
    <n v="43"/>
    <n v="1"/>
    <x v="0"/>
    <x v="0"/>
    <s v="Program Manager"/>
    <s v="Fup Lifetec"/>
    <n v="99.83"/>
    <x v="1"/>
    <n v="110"/>
    <s v="Vockan Consulting Ltda"/>
    <x v="1"/>
  </r>
  <r>
    <x v="6"/>
    <d v="2024-10-21T00:00:00"/>
    <d v="2024-10-30T00:00:00"/>
    <s v="NB01"/>
    <n v="2024"/>
    <n v="10"/>
    <n v="21"/>
    <n v="43"/>
    <n v="2"/>
    <x v="0"/>
    <x v="0"/>
    <s v="Program Manager"/>
    <s v="Atualização de bitrix, manutenção de v-control, projetos e aprovações, fup Lifetec"/>
    <n v="99.83"/>
    <x v="1"/>
    <n v="220"/>
    <s v="Vockan Consulting Ltda"/>
    <x v="1"/>
  </r>
  <r>
    <x v="6"/>
    <d v="2024-10-18T00:00:00"/>
    <d v="2024-10-21T00:00:00"/>
    <s v="NB01"/>
    <n v="2024"/>
    <n v="10"/>
    <n v="18"/>
    <n v="42"/>
    <n v="8"/>
    <x v="0"/>
    <x v="0"/>
    <s v="Program Manager"/>
    <s v="Atualizações Bitrix, fup Lifetec, Alinhamento com Renato sobre Autokiniton, Scrum, reunião com Guilherme, 1:1 André"/>
    <n v="99.83"/>
    <x v="1"/>
    <n v="880"/>
    <s v="Vockan Consulting Ltda"/>
    <x v="1"/>
  </r>
  <r>
    <x v="6"/>
    <d v="2024-10-17T00:00:00"/>
    <d v="2024-10-21T00:00:00"/>
    <s v="NB01"/>
    <n v="2024"/>
    <n v="10"/>
    <n v="17"/>
    <n v="42"/>
    <n v="8"/>
    <x v="0"/>
    <x v="0"/>
    <s v="Program Manager"/>
    <s v="Documentação de projetos, Nuvem Visteon, revisão de tickets com Pedro, Alinhamento com Hilmar e Kaune, alinhamento de Autokiniton com André"/>
    <n v="99.83"/>
    <x v="1"/>
    <n v="880"/>
    <s v="Vockan Consulting Ltda"/>
    <x v="1"/>
  </r>
  <r>
    <x v="6"/>
    <d v="2024-10-15T00:00:00"/>
    <d v="2024-10-21T00:00:00"/>
    <s v="NB01"/>
    <n v="2024"/>
    <n v="10"/>
    <n v="15"/>
    <n v="42"/>
    <n v="8"/>
    <x v="0"/>
    <x v="0"/>
    <s v="Program Manager"/>
    <s v="Reestrutuação dev com Hilmar, reunião com André, testes integração Bitrix - Mail, scrum"/>
    <n v="99.83"/>
    <x v="1"/>
    <n v="880"/>
    <s v="Vockan Consulting Ltda"/>
    <x v="1"/>
  </r>
  <r>
    <x v="6"/>
    <d v="2024-10-14T00:00:00"/>
    <d v="2024-10-21T00:00:00"/>
    <s v="NB01"/>
    <n v="2024"/>
    <n v="10"/>
    <n v="14"/>
    <n v="42"/>
    <n v="9"/>
    <x v="0"/>
    <x v="0"/>
    <s v="Program Manager"/>
    <s v="Alinhamento com Guilherme, horas planejadas no v-control com Fabio, restruturação DEV com Sildemar, alinhamento Mueller com Thiago, reunião com Cestari"/>
    <n v="99.83"/>
    <x v="1"/>
    <n v="990"/>
    <s v="Vockan Consulting Ltda"/>
    <x v="1"/>
  </r>
  <r>
    <x v="6"/>
    <d v="2024-10-11T00:00:00"/>
    <d v="2024-10-15T00:00:00"/>
    <s v="NB01"/>
    <n v="2024"/>
    <n v="10"/>
    <n v="11"/>
    <n v="41"/>
    <n v="5"/>
    <x v="0"/>
    <x v="0"/>
    <s v="Program Manager"/>
    <s v="Reunião gerencial, Alinhamento com Daniel sobre prospecção, projetos no v-control"/>
    <n v="99.83"/>
    <x v="1"/>
    <n v="550"/>
    <s v="Vockan Consulting Ltda"/>
    <x v="1"/>
  </r>
  <r>
    <x v="6"/>
    <d v="2024-10-10T00:00:00"/>
    <d v="2024-10-15T00:00:00"/>
    <s v="NB01"/>
    <n v="2024"/>
    <n v="10"/>
    <n v="10"/>
    <n v="41"/>
    <n v="6"/>
    <x v="0"/>
    <x v="0"/>
    <s v="Program Manager"/>
    <s v="Entrevista de onboarding com Raissa, scrum, oportunidades Bitrix, Alinhamento Zeiss DEV-Projetos"/>
    <n v="99.83"/>
    <x v="1"/>
    <n v="660"/>
    <s v="Vockan Consulting Ltda"/>
    <x v="1"/>
  </r>
  <r>
    <x v="6"/>
    <d v="2024-10-09T00:00:00"/>
    <d v="2024-10-15T00:00:00"/>
    <s v="NB01"/>
    <n v="2024"/>
    <n v="10"/>
    <n v="9"/>
    <n v="41"/>
    <n v="4"/>
    <x v="0"/>
    <x v="0"/>
    <s v="Program Manager"/>
    <s v="1:1 André, plan sprint 17, Alinhamento Auto Kiniton, Alinhamento oxbo Folha, Roteiro Agilista com Daniel, Alinhamento demanda HUF"/>
    <n v="99.83"/>
    <x v="1"/>
    <n v="440"/>
    <s v="Vockan Consulting Ltda"/>
    <x v="1"/>
  </r>
  <r>
    <x v="6"/>
    <d v="2024-10-08T00:00:00"/>
    <d v="2024-10-15T00:00:00"/>
    <s v="NB01"/>
    <n v="2024"/>
    <n v="10"/>
    <n v="8"/>
    <n v="41"/>
    <n v="6"/>
    <x v="0"/>
    <x v="0"/>
    <s v="Program Manager"/>
    <s v="Apresentação Solides, FUP Adium, Reuniáo com Parpinelli, Visita Mueller"/>
    <n v="99.83"/>
    <x v="1"/>
    <n v="660"/>
    <s v="Vockan Consulting Ltda"/>
    <x v="1"/>
  </r>
  <r>
    <x v="6"/>
    <d v="2024-10-07T00:00:00"/>
    <d v="2024-10-08T00:00:00"/>
    <s v="NB01"/>
    <n v="2024"/>
    <n v="10"/>
    <n v="7"/>
    <n v="41"/>
    <n v="8"/>
    <x v="0"/>
    <x v="0"/>
    <s v="Program Manager"/>
    <s v="Reuniões com Ederson e Walter Braz, planejamento no v-control com André, scrum, tratamento de issues autokiniton"/>
    <n v="99.83"/>
    <x v="1"/>
    <n v="880"/>
    <s v="Vockan Consulting Ltda"/>
    <x v="1"/>
  </r>
  <r>
    <x v="6"/>
    <d v="2024-10-04T00:00:00"/>
    <d v="2024-10-07T00:00:00"/>
    <s v="NB01"/>
    <n v="2024"/>
    <n v="10"/>
    <n v="4"/>
    <n v="40"/>
    <n v="8"/>
    <x v="0"/>
    <x v="0"/>
    <s v="Program Manager"/>
    <s v="Reunião sobre Bitrix com Andre, tickets com Pedro, alinhamento oxbo, scrum, Alinhamento com Parpinelli sobre Tiago, health score com Thiago"/>
    <n v="99.83"/>
    <x v="1"/>
    <n v="880"/>
    <s v="Vockan Consulting Ltda"/>
    <x v="1"/>
  </r>
  <r>
    <x v="6"/>
    <d v="2024-10-03T00:00:00"/>
    <d v="2024-10-07T00:00:00"/>
    <s v="NB01"/>
    <n v="2024"/>
    <n v="10"/>
    <n v="3"/>
    <n v="40"/>
    <n v="6"/>
    <x v="0"/>
    <x v="0"/>
    <s v="Program Manager"/>
    <s v="Solides, capacitação exchange, alinhamento oxbo, tratativa Valmont com Alan"/>
    <n v="99.83"/>
    <x v="1"/>
    <n v="660"/>
    <s v="Vockan Consulting Ltda"/>
    <x v="1"/>
  </r>
  <r>
    <x v="6"/>
    <d v="2024-10-02T00:00:00"/>
    <d v="2024-10-07T00:00:00"/>
    <s v="NB01"/>
    <n v="2024"/>
    <n v="10"/>
    <n v="2"/>
    <n v="40"/>
    <n v="6"/>
    <x v="0"/>
    <x v="0"/>
    <s v="Program Manager"/>
    <s v="Alinhamento Bitrix com Fabio, Alinhamento BPO com Thiago, scrum"/>
    <n v="99.83"/>
    <x v="1"/>
    <n v="660"/>
    <s v="Vockan Consulting Ltda"/>
    <x v="1"/>
  </r>
  <r>
    <x v="6"/>
    <d v="2024-10-01T00:00:00"/>
    <d v="2024-10-07T00:00:00"/>
    <s v="NB01"/>
    <n v="2024"/>
    <n v="10"/>
    <n v="1"/>
    <n v="40"/>
    <n v="7"/>
    <x v="0"/>
    <x v="0"/>
    <s v="Program Manager"/>
    <s v="FUP Comercial, entrevista com Sergio Gabriel, reunião com Geraldo, Scrum, Alinhamento TEC, fup contratação squad"/>
    <n v="99.83"/>
    <x v="1"/>
    <n v="770"/>
    <s v="Vockan Consulting Ltda"/>
    <x v="1"/>
  </r>
  <r>
    <x v="7"/>
    <d v="2024-10-16T00:00:00"/>
    <d v="2024-10-24T00:00:00"/>
    <s v="SOW"/>
    <n v="2024"/>
    <n v="10"/>
    <n v="16"/>
    <n v="42"/>
    <n v="8"/>
    <x v="0"/>
    <x v="0"/>
    <s v="Project Manager"/>
    <s v="Congresso Industria Digital, alinhamento com Hilmar, Scrum"/>
    <n v="86.43"/>
    <x v="2"/>
    <n v="761.91735537190095"/>
    <s v="Vockan Consulting Ltda"/>
    <x v="1"/>
  </r>
  <r>
    <x v="8"/>
    <d v="2024-10-24T00:00:00"/>
    <d v="2024-10-30T00:00:00"/>
    <s v="SOW"/>
    <n v="2024"/>
    <n v="10"/>
    <n v="24"/>
    <n v="43"/>
    <n v="1"/>
    <x v="0"/>
    <x v="0"/>
    <s v="Project Manager"/>
    <s v="Finalização de roteiro agilista"/>
    <n v="99.83"/>
    <x v="1"/>
    <n v="110"/>
    <s v="Vockan Consulting Ltda"/>
    <x v="1"/>
  </r>
  <r>
    <x v="8"/>
    <d v="2024-10-03T00:00:00"/>
    <d v="2024-10-07T00:00:00"/>
    <s v="SOW"/>
    <n v="2024"/>
    <n v="10"/>
    <n v="3"/>
    <n v="40"/>
    <n v="2"/>
    <x v="0"/>
    <x v="0"/>
    <s v="Project Manager"/>
    <s v="Roteiro devolutiva com Exchange"/>
    <n v="99.83"/>
    <x v="1"/>
    <n v="220"/>
    <s v="Vockan Consulting Ltda"/>
    <x v="1"/>
  </r>
  <r>
    <x v="9"/>
    <d v="2024-10-29T00:00:00"/>
    <d v="2024-10-30T00:00:00"/>
    <s v="SOW"/>
    <n v="2024"/>
    <n v="10"/>
    <n v="29"/>
    <n v="44"/>
    <n v="1"/>
    <x v="0"/>
    <x v="0"/>
    <s v="Project Manager"/>
    <s v="Sprint semanal com Exchange, BPO Operacional"/>
    <n v="99.83"/>
    <x v="1"/>
    <n v="110"/>
    <s v="Vockan Consulting Ltda"/>
    <x v="1"/>
  </r>
  <r>
    <x v="9"/>
    <d v="2024-10-12T00:00:00"/>
    <d v="2024-10-15T00:00:00"/>
    <s v="SOW"/>
    <n v="2024"/>
    <n v="10"/>
    <n v="12"/>
    <n v="41"/>
    <n v="2"/>
    <x v="0"/>
    <x v="0"/>
    <s v="Project Manager"/>
    <s v="Revisão de material MKT para site, BPO e Agilista"/>
    <n v="99.83"/>
    <x v="1"/>
    <n v="220"/>
    <s v="Vockan Consulting Ltda"/>
    <x v="1"/>
  </r>
  <r>
    <x v="10"/>
    <d v="2024-10-23T00:00:00"/>
    <d v="2024-10-30T00:00:00"/>
    <s v="SOW"/>
    <n v="2024"/>
    <n v="10"/>
    <n v="23"/>
    <n v="43"/>
    <n v="4"/>
    <x v="0"/>
    <x v="0"/>
    <s v="Program Manager"/>
    <s v="Fechamento Sprint 17, plan sprint 18"/>
    <n v="86.43"/>
    <x v="2"/>
    <n v="380.95867768595048"/>
    <s v="Vockan Consulting Ltda"/>
    <x v="1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  <r>
    <x v="11"/>
    <m/>
    <m/>
    <m/>
    <m/>
    <m/>
    <m/>
    <m/>
    <m/>
    <x v="1"/>
    <x v="1"/>
    <m/>
    <m/>
    <m/>
    <x v="3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477F8-A641-40DE-80D8-75BD2688B7CF}" name="Tabela dinâmica1" cacheId="22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8" firstHeaderRow="0" firstDataRow="1" firstDataCol="5"/>
  <pivotFields count="18">
    <pivotField axis="axisRow" outline="0" showAll="0" defaultSubtotal="0">
      <items count="56">
        <item m="1" x="31"/>
        <item m="1" x="22"/>
        <item m="1" x="20"/>
        <item m="1" x="36"/>
        <item m="1" x="55"/>
        <item m="1" x="16"/>
        <item m="1" x="34"/>
        <item m="1" x="15"/>
        <item x="4"/>
        <item m="1" x="18"/>
        <item x="0"/>
        <item m="1" x="30"/>
        <item m="1" x="29"/>
        <item m="1" x="33"/>
        <item x="3"/>
        <item m="1" x="23"/>
        <item m="1" x="25"/>
        <item m="1" x="27"/>
        <item m="1" x="17"/>
        <item x="1"/>
        <item x="5"/>
        <item m="1" x="24"/>
        <item m="1" x="12"/>
        <item m="1" x="26"/>
        <item m="1" x="13"/>
        <item m="1" x="28"/>
        <item m="1" x="35"/>
        <item m="1" x="14"/>
        <item x="2"/>
        <item m="1" x="19"/>
        <item m="1" x="32"/>
        <item m="1" x="37"/>
        <item x="6"/>
        <item x="7"/>
        <item m="1" x="38"/>
        <item m="1" x="39"/>
        <item m="1" x="40"/>
        <item x="8"/>
        <item x="9"/>
        <item m="1" x="41"/>
        <item m="1" x="42"/>
        <item m="1" x="43"/>
        <item m="1" x="44"/>
        <item m="1" x="45"/>
        <item m="1" x="46"/>
        <item m="1" x="47"/>
        <item m="1" x="48"/>
        <item x="10"/>
        <item m="1" x="49"/>
        <item m="1" x="21"/>
        <item m="1" x="50"/>
        <item m="1" x="51"/>
        <item m="1" x="52"/>
        <item m="1" x="53"/>
        <item m="1" x="54"/>
        <item x="11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1">
        <item m="1" x="24"/>
        <item m="1" x="27"/>
        <item m="1" x="9"/>
        <item m="1" x="11"/>
        <item m="1" x="8"/>
        <item m="1" x="5"/>
        <item m="1" x="7"/>
        <item m="1" x="13"/>
        <item m="1" x="23"/>
        <item h="1" m="1" x="18"/>
        <item m="1" x="16"/>
        <item m="1" x="10"/>
        <item m="1" x="20"/>
        <item m="1" x="22"/>
        <item m="1" x="17"/>
        <item m="1" x="28"/>
        <item m="1" x="19"/>
        <item m="1" x="26"/>
        <item m="1" x="25"/>
        <item m="1" x="14"/>
        <item m="1" x="12"/>
        <item m="1" x="6"/>
        <item m="1" x="3"/>
        <item m="1" x="29"/>
        <item x="0"/>
        <item m="1" x="4"/>
        <item h="1" m="1" x="21"/>
        <item m="1" x="15"/>
        <item m="1" x="2"/>
        <item h="1" x="1"/>
        <item t="default"/>
      </items>
    </pivotField>
    <pivotField axis="axisRow" outline="0" showAll="0" defaultSubtotal="0">
      <items count="50">
        <item m="1" x="33"/>
        <item m="1" x="40"/>
        <item m="1" x="7"/>
        <item m="1" x="5"/>
        <item m="1" x="47"/>
        <item m="1" x="36"/>
        <item m="1" x="37"/>
        <item m="1" x="11"/>
        <item m="1" x="27"/>
        <item m="1" x="6"/>
        <item m="1" x="22"/>
        <item m="1" x="25"/>
        <item m="1" x="10"/>
        <item m="1" x="42"/>
        <item m="1" x="4"/>
        <item m="1" x="24"/>
        <item m="1" x="17"/>
        <item m="1" x="15"/>
        <item m="1" x="46"/>
        <item m="1" x="41"/>
        <item m="1" x="12"/>
        <item m="1" x="35"/>
        <item m="1" x="20"/>
        <item m="1" x="29"/>
        <item m="1" x="39"/>
        <item m="1" x="28"/>
        <item m="1" x="8"/>
        <item m="1" x="18"/>
        <item m="1" x="44"/>
        <item m="1" x="48"/>
        <item m="1" x="26"/>
        <item m="1" x="43"/>
        <item m="1" x="21"/>
        <item m="1" x="31"/>
        <item m="1" x="30"/>
        <item m="1" x="19"/>
        <item x="0"/>
        <item m="1" x="45"/>
        <item m="1" x="3"/>
        <item m="1" x="16"/>
        <item m="1" x="14"/>
        <item m="1" x="49"/>
        <item m="1" x="23"/>
        <item m="1" x="13"/>
        <item m="1" x="38"/>
        <item m="1" x="34"/>
        <item m="1" x="2"/>
        <item m="1" x="9"/>
        <item m="1" x="32"/>
        <item x="1"/>
      </items>
    </pivotField>
    <pivotField showAll="0"/>
    <pivotField showAll="0"/>
    <pivotField showAll="0"/>
    <pivotField axis="axisRow" outline="0" showAll="0" defaultSubtotal="0">
      <items count="47">
        <item m="1" x="45"/>
        <item m="1" x="35"/>
        <item m="1" x="42"/>
        <item m="1" x="33"/>
        <item m="1" x="29"/>
        <item m="1" x="31"/>
        <item m="1" x="17"/>
        <item m="1" x="43"/>
        <item m="1" x="27"/>
        <item m="1" x="38"/>
        <item m="1" x="34"/>
        <item m="1" x="6"/>
        <item m="1" x="16"/>
        <item m="1" x="44"/>
        <item m="1" x="5"/>
        <item m="1" x="40"/>
        <item x="2"/>
        <item m="1" x="28"/>
        <item x="1"/>
        <item m="1" x="30"/>
        <item m="1" x="7"/>
        <item m="1" x="41"/>
        <item m="1" x="21"/>
        <item m="1" x="4"/>
        <item m="1" x="20"/>
        <item m="1" x="18"/>
        <item m="1" x="25"/>
        <item m="1" x="8"/>
        <item m="1" x="15"/>
        <item m="1" x="24"/>
        <item m="1" x="37"/>
        <item m="1" x="14"/>
        <item m="1" x="23"/>
        <item m="1" x="19"/>
        <item m="1" x="11"/>
        <item x="0"/>
        <item m="1" x="12"/>
        <item m="1" x="39"/>
        <item m="1" x="13"/>
        <item m="1" x="32"/>
        <item m="1" x="26"/>
        <item m="1" x="36"/>
        <item m="1" x="10"/>
        <item m="1" x="9"/>
        <item m="1" x="22"/>
        <item m="1" x="46"/>
        <item x="3"/>
      </items>
    </pivotField>
    <pivotField dataField="1" showAll="0"/>
    <pivotField showAll="0"/>
    <pivotField axis="axisRow" outline="0" showAll="0">
      <items count="5">
        <item x="0"/>
        <item m="1" x="3"/>
        <item x="1"/>
        <item x="2"/>
        <item t="default"/>
      </items>
    </pivotField>
  </pivotFields>
  <rowFields count="5">
    <field x="9"/>
    <field x="17"/>
    <field x="10"/>
    <field x="0"/>
    <field x="14"/>
  </rowFields>
  <rowItems count="15">
    <i>
      <x v="24"/>
      <x/>
      <x v="36"/>
      <x v="8"/>
      <x v="35"/>
    </i>
    <i r="3">
      <x v="10"/>
      <x v="35"/>
    </i>
    <i r="3">
      <x v="14"/>
      <x v="35"/>
    </i>
    <i r="3">
      <x v="19"/>
      <x v="35"/>
    </i>
    <i r="3">
      <x v="20"/>
      <x v="35"/>
    </i>
    <i t="default" r="1">
      <x/>
    </i>
    <i r="1">
      <x v="2"/>
      <x v="36"/>
      <x v="28"/>
      <x v="35"/>
    </i>
    <i r="3">
      <x v="32"/>
      <x v="18"/>
    </i>
    <i r="3">
      <x v="33"/>
      <x v="16"/>
    </i>
    <i r="3">
      <x v="37"/>
      <x v="18"/>
    </i>
    <i r="3">
      <x v="38"/>
      <x v="18"/>
    </i>
    <i r="3">
      <x v="47"/>
      <x v="16"/>
    </i>
    <i t="default" r="1">
      <x v="2"/>
    </i>
    <i t="default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9" baseItem="0" numFmtId="164"/>
    <dataField name="Soma de Total Cost" fld="15" baseField="9" baseItem="0" numFmtId="165"/>
  </dataFields>
  <formats count="8">
    <format dxfId="8">
      <pivotArea dataOnly="0" outline="0" fieldPosition="0">
        <references count="1">
          <reference field="9" count="0" defaultSubtotal="1"/>
        </references>
      </pivotArea>
    </format>
    <format dxfId="9">
      <pivotArea dataOnly="0" outline="0" fieldPosition="0">
        <references count="1">
          <reference field="17" count="0" defaultSubtotal="1"/>
        </references>
      </pivotArea>
    </format>
    <format dxfId="10">
      <pivotArea dataOnly="0" outline="0" fieldPosition="0">
        <references count="1">
          <reference field="17" count="0" defaultSubtotal="1"/>
        </references>
      </pivotArea>
    </format>
    <format dxfId="11">
      <pivotArea dataOnly="0" labelOnly="1" outline="0" fieldPosition="0">
        <references count="1">
          <reference field="14" count="0"/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outline="0" fieldPosition="0">
        <references count="1">
          <reference field="17" count="0" defaultSubtotal="1"/>
        </references>
      </pivotArea>
    </format>
    <format dxfId="14">
      <pivotArea outline="0" collapsedLevelsAreSubtotals="1" fieldPosition="0">
        <references count="5">
          <reference field="0" count="1" selected="0">
            <x v="40"/>
          </reference>
          <reference field="9" count="1" selected="0">
            <x v="19"/>
          </reference>
          <reference field="10" count="1" selected="0">
            <x v="13"/>
          </reference>
          <reference field="14" count="1" selected="0">
            <x v="0"/>
          </reference>
          <reference field="17" count="1" selected="0">
            <x v="2"/>
          </reference>
        </references>
      </pivotArea>
    </format>
    <format dxfId="15">
      <pivotArea dataOnly="0" labelOnly="1" fieldPosition="0">
        <references count="5">
          <reference field="0" count="1" selected="0">
            <x v="40"/>
          </reference>
          <reference field="9" count="1" selected="0">
            <x v="19"/>
          </reference>
          <reference field="10" count="1" selected="0">
            <x v="13"/>
          </reference>
          <reference field="14" count="1">
            <x v="0"/>
          </reference>
          <reference field="1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963FE039-31A5-48CB-BC34-1FFD1AE0FD07}" autoFormatId="16" applyNumberFormats="0" applyBorderFormats="0" applyFontFormats="0" applyPatternFormats="0" applyAlignmentFormats="0" applyWidthHeightFormats="0">
  <queryTableRefresh nextId="27" unboundColumnsRight="1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4" dataBound="0" tableColumnId="22"/>
      <queryTableField id="23" dataBound="0" tableColumnId="21"/>
      <queryTableField id="16" name="Customer Name" tableColumnId="16"/>
      <queryTableField id="22" dataBound="0" tableColumnId="18"/>
    </queryTableFields>
    <queryTableDeletedFields count="3">
      <deletedField name="Invoiced Date"/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81B7B5-B29B-417E-9431-9C82A60C0864}" name="ApprovedTimeReport_002_2024106" displayName="ApprovedTimeReport_002_2024106" ref="A1:R40" tableType="queryTable" totalsRowCount="1">
  <autoFilter ref="A1:R39" xr:uid="{B481B7B5-B29B-417E-9431-9C82A60C0864}"/>
  <sortState xmlns:xlrd2="http://schemas.microsoft.com/office/spreadsheetml/2017/richdata2" ref="A2:R39">
    <sortCondition ref="Q2:Q39"/>
    <sortCondition ref="A2:A39"/>
  </sortState>
  <tableColumns count="18">
    <tableColumn id="1" xr3:uid="{615B00DF-F670-495F-B1B9-AF3955DA7079}" uniqueName="1" name="FunnelID" queryTableFieldId="1" dataDxfId="35" totalsRowDxfId="34"/>
    <tableColumn id="2" xr3:uid="{A412A194-AA62-48AF-B904-BDF7E882EFD2}" uniqueName="2" name="Work Date" queryTableFieldId="2" dataDxfId="33" totalsRowDxfId="32"/>
    <tableColumn id="3" xr3:uid="{C1DE8E53-EE45-44EA-8EA9-DC98E5050195}" uniqueName="3" name="Date TimeSheet" queryTableFieldId="3" dataDxfId="31" totalsRowDxfId="30"/>
    <tableColumn id="4" xr3:uid="{3A83E0E1-B63A-4C79-BF4D-C3B177B00B05}" uniqueName="4" name="CCID" queryTableFieldId="4" dataDxfId="29" totalsRowDxfId="28"/>
    <tableColumn id="5" xr3:uid="{6D4580E1-A81B-4BE6-8F7A-B3CCEFD62F1A}" uniqueName="5" name="Year" queryTableFieldId="5"/>
    <tableColumn id="6" xr3:uid="{C0010A74-6879-455D-95A3-3B4ADBF784B5}" uniqueName="6" name="Month" queryTableFieldId="6"/>
    <tableColumn id="7" xr3:uid="{EE29F45A-312A-46D7-894A-A08094E9E32E}" uniqueName="7" name="Day" queryTableFieldId="7"/>
    <tableColumn id="8" xr3:uid="{ECFBE202-A222-47E5-900D-122031B576EE}" uniqueName="8" name="Week" queryTableFieldId="8"/>
    <tableColumn id="9" xr3:uid="{8F5B3F41-E5B5-4800-9839-E43D685376AA}" uniqueName="9" name="Time Actual" queryTableFieldId="9" dataCellStyle="Vírgula"/>
    <tableColumn id="10" xr3:uid="{891A2193-1FB9-4022-A69E-F2F2EBC2099D}" uniqueName="10" name="Company" queryTableFieldId="10" dataDxfId="27" totalsRowDxfId="26"/>
    <tableColumn id="11" xr3:uid="{AE023D0B-FA72-4F48-88BB-FC7E9D49B9D5}" uniqueName="11" name="Resource Name" queryTableFieldId="11" dataDxfId="25" totalsRowDxfId="24"/>
    <tableColumn id="12" xr3:uid="{9B87A36E-5E4D-454C-AB83-AD80EDD002B9}" uniqueName="12" name="Role" queryTableFieldId="12" dataDxfId="23" totalsRowDxfId="22"/>
    <tableColumn id="13" xr3:uid="{F9656174-7319-4E73-B6D5-C29F1777AC9F}" uniqueName="13" name="Comments" queryTableFieldId="13" dataDxfId="21" totalsRowDxfId="20"/>
    <tableColumn id="14" xr3:uid="{C320D8C6-FFDA-4FDD-A2D6-0C9EEF8BB5F9}" uniqueName="14" name="CostRate" queryTableFieldId="14" dataCellStyle="Vírgula"/>
    <tableColumn id="22" xr3:uid="{B34FEACE-2456-45C8-9421-534039BACC69}" uniqueName="22" name="CostRate w/ Taxes" queryTableFieldId="24" dataCellStyle="Vírgula">
      <calculatedColumnFormula>ApprovedTimeReport_002_2024106[[#This Row],[CostRate]]/0.9075</calculatedColumnFormula>
    </tableColumn>
    <tableColumn id="21" xr3:uid="{22CA00B9-A4CB-4AF8-AC84-01000B7D22A1}" uniqueName="21" name="Total Cost" queryTableFieldId="23" dataCellStyle="Vírgula">
      <calculatedColumnFormula>ApprovedTimeReport_002_2024106[[#This Row],[CostRate w/ Taxes]]*ApprovedTimeReport_002_2024106[[#This Row],[Time Actual]]</calculatedColumnFormula>
    </tableColumn>
    <tableColumn id="16" xr3:uid="{D0AA23FC-9BAC-4966-8E48-4BF6D1C5EC24}" uniqueName="16" name="Customer Name" queryTableFieldId="16" dataDxfId="19" totalsRowDxfId="18"/>
    <tableColumn id="18" xr3:uid="{DC9DCD4B-95AD-41A5-8099-87DE4C525B1B}" uniqueName="18" name="Project Type" queryTableFieldId="22" dataDxfId="17" totalsRowDxfId="16">
      <calculatedColumnFormula>VLOOKUP(A:A,Vlookup!A:B,2,0)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AF09-69D5-4A25-9547-DD4B134C8372}">
  <dimension ref="A3:H18"/>
  <sheetViews>
    <sheetView tabSelected="1" workbookViewId="0">
      <selection activeCell="G16" sqref="G16:H16"/>
    </sheetView>
  </sheetViews>
  <sheetFormatPr defaultRowHeight="15" x14ac:dyDescent="0.25"/>
  <cols>
    <col min="1" max="1" width="18.42578125" bestFit="1" customWidth="1"/>
    <col min="2" max="2" width="14.42578125" bestFit="1" customWidth="1"/>
    <col min="3" max="3" width="17.7109375" bestFit="1" customWidth="1"/>
    <col min="4" max="4" width="25.85546875" bestFit="1" customWidth="1"/>
    <col min="5" max="5" width="20.140625" bestFit="1" customWidth="1"/>
    <col min="6" max="6" width="19.85546875" bestFit="1" customWidth="1"/>
    <col min="7" max="7" width="18.5703125" bestFit="1" customWidth="1"/>
  </cols>
  <sheetData>
    <row r="3" spans="1:8" x14ac:dyDescent="0.25">
      <c r="A3" s="5" t="s">
        <v>178</v>
      </c>
      <c r="B3" s="5" t="s">
        <v>124</v>
      </c>
      <c r="C3" s="5" t="s">
        <v>10</v>
      </c>
      <c r="D3" s="5" t="s">
        <v>0</v>
      </c>
      <c r="E3" s="5" t="s">
        <v>122</v>
      </c>
      <c r="F3" t="s">
        <v>180</v>
      </c>
      <c r="G3" t="s">
        <v>181</v>
      </c>
    </row>
    <row r="4" spans="1:8" x14ac:dyDescent="0.25">
      <c r="A4" t="s">
        <v>26</v>
      </c>
      <c r="B4" t="s">
        <v>126</v>
      </c>
      <c r="C4" t="s">
        <v>27</v>
      </c>
      <c r="D4" t="s">
        <v>44</v>
      </c>
      <c r="E4" s="4">
        <v>173.00275482093664</v>
      </c>
      <c r="F4" s="6">
        <v>6</v>
      </c>
      <c r="G4" s="10">
        <v>1038.0165289256199</v>
      </c>
    </row>
    <row r="5" spans="1:8" x14ac:dyDescent="0.25">
      <c r="D5" t="s">
        <v>48</v>
      </c>
      <c r="E5" s="4">
        <v>173.00275482093664</v>
      </c>
      <c r="F5" s="6">
        <v>1</v>
      </c>
      <c r="G5" s="10">
        <v>173.00275482093664</v>
      </c>
    </row>
    <row r="6" spans="1:8" x14ac:dyDescent="0.25">
      <c r="D6" t="s">
        <v>39</v>
      </c>
      <c r="E6" s="4">
        <v>173.00275482093664</v>
      </c>
      <c r="F6" s="6">
        <v>2</v>
      </c>
      <c r="G6" s="10">
        <v>346.00550964187329</v>
      </c>
    </row>
    <row r="7" spans="1:8" x14ac:dyDescent="0.25">
      <c r="D7" t="s">
        <v>45</v>
      </c>
      <c r="E7" s="4">
        <v>173.00275482093664</v>
      </c>
      <c r="F7" s="6">
        <v>5</v>
      </c>
      <c r="G7" s="10">
        <v>865.01377410468319</v>
      </c>
    </row>
    <row r="8" spans="1:8" x14ac:dyDescent="0.25">
      <c r="D8" t="s">
        <v>33</v>
      </c>
      <c r="E8" s="4">
        <v>173.00275482093664</v>
      </c>
      <c r="F8" s="6">
        <v>2</v>
      </c>
      <c r="G8" s="10">
        <v>346.00550964187329</v>
      </c>
    </row>
    <row r="9" spans="1:8" x14ac:dyDescent="0.25">
      <c r="B9" s="8" t="s">
        <v>184</v>
      </c>
      <c r="C9" s="8"/>
      <c r="D9" s="8"/>
      <c r="E9" s="8"/>
      <c r="F9" s="9">
        <v>16</v>
      </c>
      <c r="G9" s="12">
        <v>2768.0440771349863</v>
      </c>
      <c r="H9" t="s">
        <v>185</v>
      </c>
    </row>
    <row r="10" spans="1:8" x14ac:dyDescent="0.25">
      <c r="B10" t="s">
        <v>131</v>
      </c>
      <c r="C10" t="s">
        <v>27</v>
      </c>
      <c r="D10" t="s">
        <v>108</v>
      </c>
      <c r="E10" s="4">
        <v>173.00275482093664</v>
      </c>
      <c r="F10" s="6">
        <v>1</v>
      </c>
      <c r="G10" s="10">
        <v>173.00275482093664</v>
      </c>
    </row>
    <row r="11" spans="1:8" x14ac:dyDescent="0.25">
      <c r="D11" t="s">
        <v>25</v>
      </c>
      <c r="E11" s="4">
        <v>110</v>
      </c>
      <c r="F11" s="6">
        <v>135</v>
      </c>
      <c r="G11" s="10">
        <v>14850</v>
      </c>
    </row>
    <row r="12" spans="1:8" x14ac:dyDescent="0.25">
      <c r="D12" t="s">
        <v>89</v>
      </c>
      <c r="E12" s="4">
        <v>95.239669421487619</v>
      </c>
      <c r="F12" s="6">
        <v>8</v>
      </c>
      <c r="G12" s="10">
        <v>761.91735537190095</v>
      </c>
    </row>
    <row r="13" spans="1:8" x14ac:dyDescent="0.25">
      <c r="D13" t="s">
        <v>70</v>
      </c>
      <c r="E13" s="4">
        <v>110</v>
      </c>
      <c r="F13" s="6">
        <v>3</v>
      </c>
      <c r="G13" s="10">
        <v>330</v>
      </c>
    </row>
    <row r="14" spans="1:8" x14ac:dyDescent="0.25">
      <c r="D14" t="s">
        <v>52</v>
      </c>
      <c r="E14" s="4">
        <v>110</v>
      </c>
      <c r="F14" s="6">
        <v>3</v>
      </c>
      <c r="G14" s="10">
        <v>330</v>
      </c>
    </row>
    <row r="15" spans="1:8" x14ac:dyDescent="0.25">
      <c r="D15" t="s">
        <v>78</v>
      </c>
      <c r="E15" s="4">
        <v>95.239669421487619</v>
      </c>
      <c r="F15" s="6">
        <v>4</v>
      </c>
      <c r="G15" s="10">
        <v>380.95867768595048</v>
      </c>
    </row>
    <row r="16" spans="1:8" x14ac:dyDescent="0.25">
      <c r="B16" s="8" t="s">
        <v>183</v>
      </c>
      <c r="C16" s="8"/>
      <c r="D16" s="8"/>
      <c r="E16" s="8"/>
      <c r="F16" s="9">
        <v>154</v>
      </c>
      <c r="G16" s="12">
        <v>16825.878787878788</v>
      </c>
      <c r="H16" t="s">
        <v>186</v>
      </c>
    </row>
    <row r="17" spans="1:7" x14ac:dyDescent="0.25">
      <c r="A17" s="3" t="s">
        <v>182</v>
      </c>
      <c r="B17" s="3"/>
      <c r="C17" s="3"/>
      <c r="D17" s="3"/>
      <c r="E17" s="3"/>
      <c r="F17" s="7">
        <v>170</v>
      </c>
      <c r="G17" s="11">
        <v>19593.922865013774</v>
      </c>
    </row>
    <row r="18" spans="1:7" x14ac:dyDescent="0.25">
      <c r="A18" t="s">
        <v>179</v>
      </c>
      <c r="F18" s="6">
        <v>170</v>
      </c>
      <c r="G18" s="10">
        <v>19593.922865013774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48D9-8E7C-4B86-95A8-0F335649389B}">
  <dimension ref="A1:R40"/>
  <sheetViews>
    <sheetView workbookViewId="0">
      <selection activeCell="K1" sqref="K1"/>
    </sheetView>
  </sheetViews>
  <sheetFormatPr defaultRowHeight="15" x14ac:dyDescent="0.25"/>
  <cols>
    <col min="1" max="1" width="22" bestFit="1" customWidth="1"/>
    <col min="2" max="2" width="11.7109375" customWidth="1"/>
    <col min="3" max="3" width="16.42578125" customWidth="1"/>
    <col min="4" max="4" width="7.42578125" customWidth="1"/>
    <col min="5" max="5" width="6.85546875" customWidth="1"/>
    <col min="6" max="6" width="8.28515625" customWidth="1"/>
    <col min="7" max="7" width="6.28515625" customWidth="1"/>
    <col min="8" max="8" width="7.85546875" customWidth="1"/>
    <col min="9" max="9" width="13" customWidth="1"/>
    <col min="10" max="10" width="25.7109375" customWidth="1"/>
    <col min="11" max="11" width="19.85546875" bestFit="1" customWidth="1"/>
    <col min="12" max="12" width="15.28515625" bestFit="1" customWidth="1"/>
    <col min="13" max="13" width="80.85546875" customWidth="1"/>
    <col min="14" max="16" width="10.7109375" customWidth="1"/>
    <col min="17" max="17" width="32.7109375" bestFit="1" customWidth="1"/>
    <col min="18" max="18" width="14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122</v>
      </c>
      <c r="P1" t="s">
        <v>123</v>
      </c>
      <c r="Q1" t="s">
        <v>14</v>
      </c>
      <c r="R1" t="s">
        <v>124</v>
      </c>
    </row>
    <row r="2" spans="1:18" x14ac:dyDescent="0.25">
      <c r="A2" t="s">
        <v>48</v>
      </c>
      <c r="B2" s="1">
        <v>45588</v>
      </c>
      <c r="C2" s="1">
        <v>45595</v>
      </c>
      <c r="D2" t="s">
        <v>16</v>
      </c>
      <c r="E2">
        <v>2024</v>
      </c>
      <c r="F2">
        <v>10</v>
      </c>
      <c r="G2">
        <v>23</v>
      </c>
      <c r="H2">
        <v>43</v>
      </c>
      <c r="I2" s="2">
        <v>1</v>
      </c>
      <c r="J2" t="s">
        <v>26</v>
      </c>
      <c r="K2" t="s">
        <v>27</v>
      </c>
      <c r="L2" t="s">
        <v>17</v>
      </c>
      <c r="M2" t="s">
        <v>75</v>
      </c>
      <c r="N2" s="2">
        <v>157</v>
      </c>
      <c r="O2" s="2">
        <f>ApprovedTimeReport_002_2024106[[#This Row],[CostRate]]/0.9075</f>
        <v>173.00275482093664</v>
      </c>
      <c r="P2" s="2">
        <f>ApprovedTimeReport_002_2024106[[#This Row],[CostRate w/ Taxes]]*ApprovedTimeReport_002_2024106[[#This Row],[Time Actual]]</f>
        <v>173.00275482093664</v>
      </c>
      <c r="Q2" t="s">
        <v>43</v>
      </c>
      <c r="R2" t="str">
        <f>VLOOKUP(A:A,Vlookup!A:B,2,0)</f>
        <v>FF</v>
      </c>
    </row>
    <row r="3" spans="1:18" x14ac:dyDescent="0.25">
      <c r="A3" t="s">
        <v>45</v>
      </c>
      <c r="B3" s="1">
        <v>45588</v>
      </c>
      <c r="C3" s="1">
        <v>45595</v>
      </c>
      <c r="D3" t="s">
        <v>16</v>
      </c>
      <c r="E3">
        <v>2024</v>
      </c>
      <c r="F3">
        <v>10</v>
      </c>
      <c r="G3">
        <v>23</v>
      </c>
      <c r="H3">
        <v>43</v>
      </c>
      <c r="I3" s="2">
        <v>2</v>
      </c>
      <c r="J3" t="s">
        <v>26</v>
      </c>
      <c r="K3" t="s">
        <v>27</v>
      </c>
      <c r="L3" t="s">
        <v>28</v>
      </c>
      <c r="M3" t="s">
        <v>77</v>
      </c>
      <c r="N3" s="2">
        <v>157</v>
      </c>
      <c r="O3" s="2">
        <f>ApprovedTimeReport_002_2024106[[#This Row],[CostRate]]/0.9075</f>
        <v>173.00275482093664</v>
      </c>
      <c r="P3" s="2">
        <f>ApprovedTimeReport_002_2024106[[#This Row],[CostRate w/ Taxes]]*ApprovedTimeReport_002_2024106[[#This Row],[Time Actual]]</f>
        <v>346.00550964187329</v>
      </c>
      <c r="Q3" t="s">
        <v>36</v>
      </c>
      <c r="R3" t="str">
        <f>VLOOKUP(A:A,Vlookup!A:B,2,0)</f>
        <v>FF</v>
      </c>
    </row>
    <row r="4" spans="1:18" x14ac:dyDescent="0.25">
      <c r="A4" t="s">
        <v>45</v>
      </c>
      <c r="B4" s="1">
        <v>45574</v>
      </c>
      <c r="C4" s="1">
        <v>45580</v>
      </c>
      <c r="D4" t="s">
        <v>16</v>
      </c>
      <c r="E4">
        <v>2024</v>
      </c>
      <c r="F4">
        <v>10</v>
      </c>
      <c r="G4">
        <v>9</v>
      </c>
      <c r="H4">
        <v>41</v>
      </c>
      <c r="I4" s="2">
        <v>2</v>
      </c>
      <c r="J4" t="s">
        <v>26</v>
      </c>
      <c r="K4" t="s">
        <v>27</v>
      </c>
      <c r="L4" t="s">
        <v>28</v>
      </c>
      <c r="M4" t="s">
        <v>101</v>
      </c>
      <c r="N4" s="2">
        <v>157</v>
      </c>
      <c r="O4" s="2">
        <f>ApprovedTimeReport_002_2024106[[#This Row],[CostRate]]/0.9075</f>
        <v>173.00275482093664</v>
      </c>
      <c r="P4" s="2">
        <f>ApprovedTimeReport_002_2024106[[#This Row],[CostRate w/ Taxes]]*ApprovedTimeReport_002_2024106[[#This Row],[Time Actual]]</f>
        <v>346.00550964187329</v>
      </c>
      <c r="Q4" t="s">
        <v>36</v>
      </c>
      <c r="R4" t="str">
        <f>VLOOKUP(A:A,Vlookup!A:B,2,0)</f>
        <v>FF</v>
      </c>
    </row>
    <row r="5" spans="1:18" x14ac:dyDescent="0.25">
      <c r="A5" t="s">
        <v>45</v>
      </c>
      <c r="B5" s="1">
        <v>45573</v>
      </c>
      <c r="C5" s="1">
        <v>45580</v>
      </c>
      <c r="D5" t="s">
        <v>16</v>
      </c>
      <c r="E5">
        <v>2024</v>
      </c>
      <c r="F5">
        <v>10</v>
      </c>
      <c r="G5">
        <v>8</v>
      </c>
      <c r="H5">
        <v>41</v>
      </c>
      <c r="I5" s="2">
        <v>1</v>
      </c>
      <c r="J5" t="s">
        <v>26</v>
      </c>
      <c r="K5" t="s">
        <v>27</v>
      </c>
      <c r="L5" t="s">
        <v>28</v>
      </c>
      <c r="M5" t="s">
        <v>105</v>
      </c>
      <c r="N5" s="2">
        <v>157</v>
      </c>
      <c r="O5" s="2">
        <f>ApprovedTimeReport_002_2024106[[#This Row],[CostRate]]/0.9075</f>
        <v>173.00275482093664</v>
      </c>
      <c r="P5" s="2">
        <f>ApprovedTimeReport_002_2024106[[#This Row],[CostRate w/ Taxes]]*ApprovedTimeReport_002_2024106[[#This Row],[Time Actual]]</f>
        <v>173.00275482093664</v>
      </c>
      <c r="Q5" t="s">
        <v>36</v>
      </c>
      <c r="R5" t="str">
        <f>VLOOKUP(A:A,Vlookup!A:B,2,0)</f>
        <v>FF</v>
      </c>
    </row>
    <row r="6" spans="1:18" x14ac:dyDescent="0.25">
      <c r="A6" t="s">
        <v>108</v>
      </c>
      <c r="B6" s="1">
        <v>45595</v>
      </c>
      <c r="C6" s="1">
        <v>45601</v>
      </c>
      <c r="D6" t="s">
        <v>16</v>
      </c>
      <c r="E6">
        <v>2024</v>
      </c>
      <c r="F6">
        <v>10</v>
      </c>
      <c r="G6">
        <v>30</v>
      </c>
      <c r="H6">
        <v>44</v>
      </c>
      <c r="I6" s="2">
        <v>1</v>
      </c>
      <c r="J6" t="s">
        <v>26</v>
      </c>
      <c r="K6" t="s">
        <v>27</v>
      </c>
      <c r="L6" t="s">
        <v>17</v>
      </c>
      <c r="M6" t="s">
        <v>117</v>
      </c>
      <c r="N6" s="2">
        <v>157</v>
      </c>
      <c r="O6" s="2">
        <f>ApprovedTimeReport_002_2024106[[#This Row],[CostRate]]/0.9075</f>
        <v>173.00275482093664</v>
      </c>
      <c r="P6" s="2">
        <f>ApprovedTimeReport_002_2024106[[#This Row],[CostRate w/ Taxes]]*ApprovedTimeReport_002_2024106[[#This Row],[Time Actual]]</f>
        <v>173.00275482093664</v>
      </c>
      <c r="Q6" t="s">
        <v>36</v>
      </c>
      <c r="R6" t="str">
        <f>VLOOKUP(A:A,Vlookup!A:B,2,0)</f>
        <v>NB</v>
      </c>
    </row>
    <row r="7" spans="1:18" x14ac:dyDescent="0.25">
      <c r="A7" t="s">
        <v>39</v>
      </c>
      <c r="B7" s="1">
        <v>45574</v>
      </c>
      <c r="C7" s="1">
        <v>45580</v>
      </c>
      <c r="D7" t="s">
        <v>16</v>
      </c>
      <c r="E7">
        <v>2024</v>
      </c>
      <c r="F7">
        <v>10</v>
      </c>
      <c r="G7">
        <v>9</v>
      </c>
      <c r="H7">
        <v>41</v>
      </c>
      <c r="I7" s="2">
        <v>2</v>
      </c>
      <c r="J7" t="s">
        <v>26</v>
      </c>
      <c r="K7" t="s">
        <v>27</v>
      </c>
      <c r="L7" t="s">
        <v>28</v>
      </c>
      <c r="M7" t="s">
        <v>100</v>
      </c>
      <c r="N7" s="2">
        <v>157</v>
      </c>
      <c r="O7" s="2">
        <f>ApprovedTimeReport_002_2024106[[#This Row],[CostRate]]/0.9075</f>
        <v>173.00275482093664</v>
      </c>
      <c r="P7" s="2">
        <f>ApprovedTimeReport_002_2024106[[#This Row],[CostRate w/ Taxes]]*ApprovedTimeReport_002_2024106[[#This Row],[Time Actual]]</f>
        <v>346.00550964187329</v>
      </c>
      <c r="Q7" t="s">
        <v>40</v>
      </c>
      <c r="R7" t="str">
        <f>VLOOKUP(A:A,Vlookup!A:B,2,0)</f>
        <v>FF</v>
      </c>
    </row>
    <row r="8" spans="1:18" x14ac:dyDescent="0.25">
      <c r="A8" t="s">
        <v>44</v>
      </c>
      <c r="B8" s="1">
        <v>45588</v>
      </c>
      <c r="C8" s="1">
        <v>45595</v>
      </c>
      <c r="D8" t="s">
        <v>16</v>
      </c>
      <c r="E8">
        <v>2024</v>
      </c>
      <c r="F8">
        <v>10</v>
      </c>
      <c r="G8">
        <v>23</v>
      </c>
      <c r="H8">
        <v>43</v>
      </c>
      <c r="I8" s="2">
        <v>1</v>
      </c>
      <c r="J8" t="s">
        <v>26</v>
      </c>
      <c r="K8" t="s">
        <v>27</v>
      </c>
      <c r="L8" t="s">
        <v>28</v>
      </c>
      <c r="M8" t="s">
        <v>76</v>
      </c>
      <c r="N8" s="2">
        <v>157</v>
      </c>
      <c r="O8" s="2">
        <f>ApprovedTimeReport_002_2024106[[#This Row],[CostRate]]/0.9075</f>
        <v>173.00275482093664</v>
      </c>
      <c r="P8" s="2">
        <f>ApprovedTimeReport_002_2024106[[#This Row],[CostRate w/ Taxes]]*ApprovedTimeReport_002_2024106[[#This Row],[Time Actual]]</f>
        <v>173.00275482093664</v>
      </c>
      <c r="Q8" t="s">
        <v>24</v>
      </c>
      <c r="R8" t="str">
        <f>VLOOKUP(A:A,Vlookup!A:B,2,0)</f>
        <v>FF</v>
      </c>
    </row>
    <row r="9" spans="1:18" x14ac:dyDescent="0.25">
      <c r="A9" t="s">
        <v>44</v>
      </c>
      <c r="B9" s="1">
        <v>45576</v>
      </c>
      <c r="C9" s="1">
        <v>45580</v>
      </c>
      <c r="D9" t="s">
        <v>16</v>
      </c>
      <c r="E9">
        <v>2024</v>
      </c>
      <c r="F9">
        <v>10</v>
      </c>
      <c r="G9">
        <v>11</v>
      </c>
      <c r="H9">
        <v>41</v>
      </c>
      <c r="I9" s="2">
        <v>3</v>
      </c>
      <c r="J9" t="s">
        <v>26</v>
      </c>
      <c r="K9" t="s">
        <v>27</v>
      </c>
      <c r="L9" t="s">
        <v>28</v>
      </c>
      <c r="M9" t="s">
        <v>95</v>
      </c>
      <c r="N9" s="2">
        <v>157</v>
      </c>
      <c r="O9" s="2">
        <f>ApprovedTimeReport_002_2024106[[#This Row],[CostRate]]/0.9075</f>
        <v>173.00275482093664</v>
      </c>
      <c r="P9" s="2">
        <f>ApprovedTimeReport_002_2024106[[#This Row],[CostRate w/ Taxes]]*ApprovedTimeReport_002_2024106[[#This Row],[Time Actual]]</f>
        <v>519.00826446280996</v>
      </c>
      <c r="Q9" t="s">
        <v>24</v>
      </c>
      <c r="R9" t="str">
        <f>VLOOKUP(A:A,Vlookup!A:B,2,0)</f>
        <v>FF</v>
      </c>
    </row>
    <row r="10" spans="1:18" x14ac:dyDescent="0.25">
      <c r="A10" t="s">
        <v>44</v>
      </c>
      <c r="B10" s="1">
        <v>45575</v>
      </c>
      <c r="C10" s="1">
        <v>45580</v>
      </c>
      <c r="D10" t="s">
        <v>16</v>
      </c>
      <c r="E10">
        <v>2024</v>
      </c>
      <c r="F10">
        <v>10</v>
      </c>
      <c r="G10">
        <v>10</v>
      </c>
      <c r="H10">
        <v>41</v>
      </c>
      <c r="I10" s="2">
        <v>2</v>
      </c>
      <c r="J10" t="s">
        <v>26</v>
      </c>
      <c r="K10" t="s">
        <v>27</v>
      </c>
      <c r="L10" t="s">
        <v>28</v>
      </c>
      <c r="M10" t="s">
        <v>99</v>
      </c>
      <c r="N10" s="2">
        <v>157</v>
      </c>
      <c r="O10" s="2">
        <f>ApprovedTimeReport_002_2024106[[#This Row],[CostRate]]/0.9075</f>
        <v>173.00275482093664</v>
      </c>
      <c r="P10" s="2">
        <f>ApprovedTimeReport_002_2024106[[#This Row],[CostRate w/ Taxes]]*ApprovedTimeReport_002_2024106[[#This Row],[Time Actual]]</f>
        <v>346.00550964187329</v>
      </c>
      <c r="Q10" t="s">
        <v>24</v>
      </c>
      <c r="R10" t="str">
        <f>VLOOKUP(A:A,Vlookup!A:B,2,0)</f>
        <v>FF</v>
      </c>
    </row>
    <row r="11" spans="1:18" x14ac:dyDescent="0.25">
      <c r="A11" t="s">
        <v>33</v>
      </c>
      <c r="B11" s="1">
        <v>45573</v>
      </c>
      <c r="C11" s="1">
        <v>45580</v>
      </c>
      <c r="D11" t="s">
        <v>16</v>
      </c>
      <c r="E11">
        <v>2024</v>
      </c>
      <c r="F11">
        <v>10</v>
      </c>
      <c r="G11">
        <v>8</v>
      </c>
      <c r="H11">
        <v>41</v>
      </c>
      <c r="I11" s="2">
        <v>1</v>
      </c>
      <c r="J11" t="s">
        <v>26</v>
      </c>
      <c r="K11" t="s">
        <v>27</v>
      </c>
      <c r="L11" t="s">
        <v>17</v>
      </c>
      <c r="M11" t="s">
        <v>104</v>
      </c>
      <c r="N11" s="2">
        <v>157</v>
      </c>
      <c r="O11" s="2">
        <f>ApprovedTimeReport_002_2024106[[#This Row],[CostRate]]/0.9075</f>
        <v>173.00275482093664</v>
      </c>
      <c r="P11" s="2">
        <f>ApprovedTimeReport_002_2024106[[#This Row],[CostRate w/ Taxes]]*ApprovedTimeReport_002_2024106[[#This Row],[Time Actual]]</f>
        <v>173.00275482093664</v>
      </c>
      <c r="Q11" t="s">
        <v>34</v>
      </c>
      <c r="R11" t="str">
        <f>VLOOKUP(A:A,Vlookup!A:B,2,0)</f>
        <v>FF</v>
      </c>
    </row>
    <row r="12" spans="1:18" x14ac:dyDescent="0.25">
      <c r="A12" t="s">
        <v>33</v>
      </c>
      <c r="B12" s="1">
        <v>45566</v>
      </c>
      <c r="C12" s="1">
        <v>45572</v>
      </c>
      <c r="D12" t="s">
        <v>16</v>
      </c>
      <c r="E12">
        <v>2024</v>
      </c>
      <c r="F12">
        <v>10</v>
      </c>
      <c r="G12">
        <v>1</v>
      </c>
      <c r="H12">
        <v>40</v>
      </c>
      <c r="I12" s="2">
        <v>1</v>
      </c>
      <c r="J12" t="s">
        <v>26</v>
      </c>
      <c r="K12" t="s">
        <v>27</v>
      </c>
      <c r="L12" t="s">
        <v>17</v>
      </c>
      <c r="M12" t="s">
        <v>114</v>
      </c>
      <c r="N12" s="2">
        <v>157</v>
      </c>
      <c r="O12" s="2">
        <f>ApprovedTimeReport_002_2024106[[#This Row],[CostRate]]/0.9075</f>
        <v>173.00275482093664</v>
      </c>
      <c r="P12" s="2">
        <f>ApprovedTimeReport_002_2024106[[#This Row],[CostRate w/ Taxes]]*ApprovedTimeReport_002_2024106[[#This Row],[Time Actual]]</f>
        <v>173.00275482093664</v>
      </c>
      <c r="Q12" t="s">
        <v>34</v>
      </c>
      <c r="R12" t="str">
        <f>VLOOKUP(A:A,Vlookup!A:B,2,0)</f>
        <v>FF</v>
      </c>
    </row>
    <row r="13" spans="1:18" x14ac:dyDescent="0.25">
      <c r="A13" t="s">
        <v>25</v>
      </c>
      <c r="B13" s="1">
        <v>45596</v>
      </c>
      <c r="C13" s="1">
        <v>45601</v>
      </c>
      <c r="D13" t="s">
        <v>19</v>
      </c>
      <c r="E13">
        <v>2024</v>
      </c>
      <c r="F13">
        <v>10</v>
      </c>
      <c r="G13">
        <v>31</v>
      </c>
      <c r="H13">
        <v>44</v>
      </c>
      <c r="I13" s="2">
        <v>8</v>
      </c>
      <c r="J13" t="s">
        <v>26</v>
      </c>
      <c r="K13" t="s">
        <v>27</v>
      </c>
      <c r="L13" t="s">
        <v>28</v>
      </c>
      <c r="M13" t="s">
        <v>29</v>
      </c>
      <c r="N13" s="2">
        <v>99.83</v>
      </c>
      <c r="O13" s="2">
        <v>110</v>
      </c>
      <c r="P13" s="2">
        <f>ApprovedTimeReport_002_2024106[[#This Row],[CostRate w/ Taxes]]*ApprovedTimeReport_002_2024106[[#This Row],[Time Actual]]</f>
        <v>880</v>
      </c>
      <c r="Q13" t="s">
        <v>21</v>
      </c>
      <c r="R13" t="str">
        <f>VLOOKUP(A:A,Vlookup!A:B,2,0)</f>
        <v>NB</v>
      </c>
    </row>
    <row r="14" spans="1:18" x14ac:dyDescent="0.25">
      <c r="A14" t="s">
        <v>25</v>
      </c>
      <c r="B14" s="1">
        <v>45595</v>
      </c>
      <c r="C14" s="1">
        <v>45601</v>
      </c>
      <c r="D14" t="s">
        <v>19</v>
      </c>
      <c r="E14">
        <v>2024</v>
      </c>
      <c r="F14">
        <v>10</v>
      </c>
      <c r="G14">
        <v>30</v>
      </c>
      <c r="H14">
        <v>44</v>
      </c>
      <c r="I14" s="2">
        <v>7</v>
      </c>
      <c r="J14" t="s">
        <v>26</v>
      </c>
      <c r="K14" t="s">
        <v>27</v>
      </c>
      <c r="L14" t="s">
        <v>28</v>
      </c>
      <c r="M14" t="s">
        <v>60</v>
      </c>
      <c r="N14" s="2">
        <v>99.83</v>
      </c>
      <c r="O14" s="2">
        <v>110</v>
      </c>
      <c r="P14" s="2">
        <f>ApprovedTimeReport_002_2024106[[#This Row],[CostRate w/ Taxes]]*ApprovedTimeReport_002_2024106[[#This Row],[Time Actual]]</f>
        <v>770</v>
      </c>
      <c r="Q14" t="s">
        <v>21</v>
      </c>
      <c r="R14" t="str">
        <f>VLOOKUP(A:A,Vlookup!A:B,2,0)</f>
        <v>NB</v>
      </c>
    </row>
    <row r="15" spans="1:18" x14ac:dyDescent="0.25">
      <c r="A15" t="s">
        <v>25</v>
      </c>
      <c r="B15" s="1">
        <v>45594</v>
      </c>
      <c r="C15" s="1">
        <v>45595</v>
      </c>
      <c r="D15" t="s">
        <v>19</v>
      </c>
      <c r="E15">
        <v>2024</v>
      </c>
      <c r="F15">
        <v>10</v>
      </c>
      <c r="G15">
        <v>29</v>
      </c>
      <c r="H15">
        <v>44</v>
      </c>
      <c r="I15" s="2">
        <v>7</v>
      </c>
      <c r="J15" t="s">
        <v>26</v>
      </c>
      <c r="K15" t="s">
        <v>27</v>
      </c>
      <c r="L15" t="s">
        <v>28</v>
      </c>
      <c r="M15" t="s">
        <v>64</v>
      </c>
      <c r="N15" s="2">
        <v>99.83</v>
      </c>
      <c r="O15" s="2">
        <v>110</v>
      </c>
      <c r="P15" s="2">
        <f>ApprovedTimeReport_002_2024106[[#This Row],[CostRate w/ Taxes]]*ApprovedTimeReport_002_2024106[[#This Row],[Time Actual]]</f>
        <v>770</v>
      </c>
      <c r="Q15" t="s">
        <v>21</v>
      </c>
      <c r="R15" t="str">
        <f>VLOOKUP(A:A,Vlookup!A:B,2,0)</f>
        <v>NB</v>
      </c>
    </row>
    <row r="16" spans="1:18" x14ac:dyDescent="0.25">
      <c r="A16" t="s">
        <v>25</v>
      </c>
      <c r="B16" s="1">
        <v>45593</v>
      </c>
      <c r="C16" s="1">
        <v>45595</v>
      </c>
      <c r="D16" t="s">
        <v>19</v>
      </c>
      <c r="E16">
        <v>2024</v>
      </c>
      <c r="F16">
        <v>10</v>
      </c>
      <c r="G16">
        <v>28</v>
      </c>
      <c r="H16">
        <v>44</v>
      </c>
      <c r="I16" s="2">
        <v>4</v>
      </c>
      <c r="J16" t="s">
        <v>26</v>
      </c>
      <c r="K16" t="s">
        <v>27</v>
      </c>
      <c r="L16" t="s">
        <v>28</v>
      </c>
      <c r="M16" t="s">
        <v>69</v>
      </c>
      <c r="N16" s="2">
        <v>99.83</v>
      </c>
      <c r="O16" s="2">
        <v>110</v>
      </c>
      <c r="P16" s="2">
        <f>ApprovedTimeReport_002_2024106[[#This Row],[CostRate w/ Taxes]]*ApprovedTimeReport_002_2024106[[#This Row],[Time Actual]]</f>
        <v>440</v>
      </c>
      <c r="Q16" t="s">
        <v>21</v>
      </c>
      <c r="R16" t="str">
        <f>VLOOKUP(A:A,Vlookup!A:B,2,0)</f>
        <v>NB</v>
      </c>
    </row>
    <row r="17" spans="1:18" x14ac:dyDescent="0.25">
      <c r="A17" t="s">
        <v>25</v>
      </c>
      <c r="B17" s="1">
        <v>45590</v>
      </c>
      <c r="C17" s="1">
        <v>45595</v>
      </c>
      <c r="D17" t="s">
        <v>19</v>
      </c>
      <c r="E17">
        <v>2024</v>
      </c>
      <c r="F17">
        <v>10</v>
      </c>
      <c r="G17">
        <v>25</v>
      </c>
      <c r="H17">
        <v>43</v>
      </c>
      <c r="I17" s="2">
        <v>10</v>
      </c>
      <c r="J17" t="s">
        <v>26</v>
      </c>
      <c r="K17" t="s">
        <v>27</v>
      </c>
      <c r="L17" t="s">
        <v>28</v>
      </c>
      <c r="M17" t="s">
        <v>71</v>
      </c>
      <c r="N17" s="2">
        <v>99.83</v>
      </c>
      <c r="O17" s="2">
        <v>110</v>
      </c>
      <c r="P17" s="2">
        <f>ApprovedTimeReport_002_2024106[[#This Row],[CostRate w/ Taxes]]*ApprovedTimeReport_002_2024106[[#This Row],[Time Actual]]</f>
        <v>1100</v>
      </c>
      <c r="Q17" t="s">
        <v>21</v>
      </c>
      <c r="R17" t="str">
        <f>VLOOKUP(A:A,Vlookup!A:B,2,0)</f>
        <v>NB</v>
      </c>
    </row>
    <row r="18" spans="1:18" x14ac:dyDescent="0.25">
      <c r="A18" t="s">
        <v>25</v>
      </c>
      <c r="B18" s="1">
        <v>45589</v>
      </c>
      <c r="C18" s="1">
        <v>45595</v>
      </c>
      <c r="D18" t="s">
        <v>19</v>
      </c>
      <c r="E18">
        <v>2024</v>
      </c>
      <c r="F18">
        <v>10</v>
      </c>
      <c r="G18">
        <v>24</v>
      </c>
      <c r="H18">
        <v>43</v>
      </c>
      <c r="I18" s="2">
        <v>7</v>
      </c>
      <c r="J18" t="s">
        <v>26</v>
      </c>
      <c r="K18" t="s">
        <v>27</v>
      </c>
      <c r="L18" t="s">
        <v>28</v>
      </c>
      <c r="M18" t="s">
        <v>72</v>
      </c>
      <c r="N18" s="2">
        <v>99.83</v>
      </c>
      <c r="O18" s="2">
        <v>110</v>
      </c>
      <c r="P18" s="2">
        <f>ApprovedTimeReport_002_2024106[[#This Row],[CostRate w/ Taxes]]*ApprovedTimeReport_002_2024106[[#This Row],[Time Actual]]</f>
        <v>770</v>
      </c>
      <c r="Q18" t="s">
        <v>21</v>
      </c>
      <c r="R18" t="str">
        <f>VLOOKUP(A:A,Vlookup!A:B,2,0)</f>
        <v>NB</v>
      </c>
    </row>
    <row r="19" spans="1:18" x14ac:dyDescent="0.25">
      <c r="A19" t="s">
        <v>25</v>
      </c>
      <c r="B19" s="1">
        <v>45587</v>
      </c>
      <c r="C19" s="1">
        <v>45595</v>
      </c>
      <c r="D19" t="s">
        <v>19</v>
      </c>
      <c r="E19">
        <v>2024</v>
      </c>
      <c r="F19">
        <v>10</v>
      </c>
      <c r="G19">
        <v>22</v>
      </c>
      <c r="H19">
        <v>43</v>
      </c>
      <c r="I19" s="2">
        <v>1</v>
      </c>
      <c r="J19" t="s">
        <v>26</v>
      </c>
      <c r="K19" t="s">
        <v>27</v>
      </c>
      <c r="L19" t="s">
        <v>28</v>
      </c>
      <c r="M19" t="s">
        <v>80</v>
      </c>
      <c r="N19" s="2">
        <v>99.83</v>
      </c>
      <c r="O19" s="2">
        <v>110</v>
      </c>
      <c r="P19" s="2">
        <f>ApprovedTimeReport_002_2024106[[#This Row],[CostRate w/ Taxes]]*ApprovedTimeReport_002_2024106[[#This Row],[Time Actual]]</f>
        <v>110</v>
      </c>
      <c r="Q19" t="s">
        <v>21</v>
      </c>
      <c r="R19" t="str">
        <f>VLOOKUP(A:A,Vlookup!A:B,2,0)</f>
        <v>NB</v>
      </c>
    </row>
    <row r="20" spans="1:18" x14ac:dyDescent="0.25">
      <c r="A20" t="s">
        <v>25</v>
      </c>
      <c r="B20" s="1">
        <v>45586</v>
      </c>
      <c r="C20" s="1">
        <v>45595</v>
      </c>
      <c r="D20" t="s">
        <v>19</v>
      </c>
      <c r="E20">
        <v>2024</v>
      </c>
      <c r="F20">
        <v>10</v>
      </c>
      <c r="G20">
        <v>21</v>
      </c>
      <c r="H20">
        <v>43</v>
      </c>
      <c r="I20" s="2">
        <v>2</v>
      </c>
      <c r="J20" t="s">
        <v>26</v>
      </c>
      <c r="K20" t="s">
        <v>27</v>
      </c>
      <c r="L20" t="s">
        <v>28</v>
      </c>
      <c r="M20" t="s">
        <v>84</v>
      </c>
      <c r="N20" s="2">
        <v>99.83</v>
      </c>
      <c r="O20" s="2">
        <v>110</v>
      </c>
      <c r="P20" s="2">
        <f>ApprovedTimeReport_002_2024106[[#This Row],[CostRate w/ Taxes]]*ApprovedTimeReport_002_2024106[[#This Row],[Time Actual]]</f>
        <v>220</v>
      </c>
      <c r="Q20" t="s">
        <v>21</v>
      </c>
      <c r="R20" t="str">
        <f>VLOOKUP(A:A,Vlookup!A:B,2,0)</f>
        <v>NB</v>
      </c>
    </row>
    <row r="21" spans="1:18" x14ac:dyDescent="0.25">
      <c r="A21" t="s">
        <v>25</v>
      </c>
      <c r="B21" s="1">
        <v>45583</v>
      </c>
      <c r="C21" s="1">
        <v>45586</v>
      </c>
      <c r="D21" t="s">
        <v>19</v>
      </c>
      <c r="E21">
        <v>2024</v>
      </c>
      <c r="F21">
        <v>10</v>
      </c>
      <c r="G21">
        <v>18</v>
      </c>
      <c r="H21">
        <v>42</v>
      </c>
      <c r="I21" s="2">
        <v>8</v>
      </c>
      <c r="J21" t="s">
        <v>26</v>
      </c>
      <c r="K21" t="s">
        <v>27</v>
      </c>
      <c r="L21" t="s">
        <v>28</v>
      </c>
      <c r="M21" t="s">
        <v>85</v>
      </c>
      <c r="N21" s="2">
        <v>99.83</v>
      </c>
      <c r="O21" s="2">
        <v>110</v>
      </c>
      <c r="P21" s="2">
        <f>ApprovedTimeReport_002_2024106[[#This Row],[CostRate w/ Taxes]]*ApprovedTimeReport_002_2024106[[#This Row],[Time Actual]]</f>
        <v>880</v>
      </c>
      <c r="Q21" t="s">
        <v>21</v>
      </c>
      <c r="R21" t="str">
        <f>VLOOKUP(A:A,Vlookup!A:B,2,0)</f>
        <v>NB</v>
      </c>
    </row>
    <row r="22" spans="1:18" x14ac:dyDescent="0.25">
      <c r="A22" t="s">
        <v>25</v>
      </c>
      <c r="B22" s="1">
        <v>45582</v>
      </c>
      <c r="C22" s="1">
        <v>45586</v>
      </c>
      <c r="D22" t="s">
        <v>19</v>
      </c>
      <c r="E22">
        <v>2024</v>
      </c>
      <c r="F22">
        <v>10</v>
      </c>
      <c r="G22">
        <v>17</v>
      </c>
      <c r="H22">
        <v>42</v>
      </c>
      <c r="I22" s="2">
        <v>8</v>
      </c>
      <c r="J22" t="s">
        <v>26</v>
      </c>
      <c r="K22" t="s">
        <v>27</v>
      </c>
      <c r="L22" t="s">
        <v>28</v>
      </c>
      <c r="M22" t="s">
        <v>88</v>
      </c>
      <c r="N22" s="2">
        <v>99.83</v>
      </c>
      <c r="O22" s="2">
        <v>110</v>
      </c>
      <c r="P22" s="2">
        <f>ApprovedTimeReport_002_2024106[[#This Row],[CostRate w/ Taxes]]*ApprovedTimeReport_002_2024106[[#This Row],[Time Actual]]</f>
        <v>880</v>
      </c>
      <c r="Q22" t="s">
        <v>21</v>
      </c>
      <c r="R22" t="str">
        <f>VLOOKUP(A:A,Vlookup!A:B,2,0)</f>
        <v>NB</v>
      </c>
    </row>
    <row r="23" spans="1:18" x14ac:dyDescent="0.25">
      <c r="A23" t="s">
        <v>25</v>
      </c>
      <c r="B23" s="1">
        <v>45580</v>
      </c>
      <c r="C23" s="1">
        <v>45586</v>
      </c>
      <c r="D23" t="s">
        <v>19</v>
      </c>
      <c r="E23">
        <v>2024</v>
      </c>
      <c r="F23">
        <v>10</v>
      </c>
      <c r="G23">
        <v>15</v>
      </c>
      <c r="H23">
        <v>42</v>
      </c>
      <c r="I23" s="2">
        <v>8</v>
      </c>
      <c r="J23" t="s">
        <v>26</v>
      </c>
      <c r="K23" t="s">
        <v>27</v>
      </c>
      <c r="L23" t="s">
        <v>28</v>
      </c>
      <c r="M23" t="s">
        <v>91</v>
      </c>
      <c r="N23" s="2">
        <v>99.83</v>
      </c>
      <c r="O23" s="2">
        <v>110</v>
      </c>
      <c r="P23" s="2">
        <f>ApprovedTimeReport_002_2024106[[#This Row],[CostRate w/ Taxes]]*ApprovedTimeReport_002_2024106[[#This Row],[Time Actual]]</f>
        <v>880</v>
      </c>
      <c r="Q23" t="s">
        <v>21</v>
      </c>
      <c r="R23" t="str">
        <f>VLOOKUP(A:A,Vlookup!A:B,2,0)</f>
        <v>NB</v>
      </c>
    </row>
    <row r="24" spans="1:18" x14ac:dyDescent="0.25">
      <c r="A24" t="s">
        <v>25</v>
      </c>
      <c r="B24" s="1">
        <v>45579</v>
      </c>
      <c r="C24" s="1">
        <v>45586</v>
      </c>
      <c r="D24" t="s">
        <v>19</v>
      </c>
      <c r="E24">
        <v>2024</v>
      </c>
      <c r="F24">
        <v>10</v>
      </c>
      <c r="G24">
        <v>14</v>
      </c>
      <c r="H24">
        <v>42</v>
      </c>
      <c r="I24" s="2">
        <v>9</v>
      </c>
      <c r="J24" t="s">
        <v>26</v>
      </c>
      <c r="K24" t="s">
        <v>27</v>
      </c>
      <c r="L24" t="s">
        <v>28</v>
      </c>
      <c r="M24" t="s">
        <v>93</v>
      </c>
      <c r="N24" s="2">
        <v>99.83</v>
      </c>
      <c r="O24" s="2">
        <v>110</v>
      </c>
      <c r="P24" s="2">
        <f>ApprovedTimeReport_002_2024106[[#This Row],[CostRate w/ Taxes]]*ApprovedTimeReport_002_2024106[[#This Row],[Time Actual]]</f>
        <v>990</v>
      </c>
      <c r="Q24" t="s">
        <v>21</v>
      </c>
      <c r="R24" t="str">
        <f>VLOOKUP(A:A,Vlookup!A:B,2,0)</f>
        <v>NB</v>
      </c>
    </row>
    <row r="25" spans="1:18" x14ac:dyDescent="0.25">
      <c r="A25" t="s">
        <v>25</v>
      </c>
      <c r="B25" s="1">
        <v>45576</v>
      </c>
      <c r="C25" s="1">
        <v>45580</v>
      </c>
      <c r="D25" t="s">
        <v>19</v>
      </c>
      <c r="E25">
        <v>2024</v>
      </c>
      <c r="F25">
        <v>10</v>
      </c>
      <c r="G25">
        <v>11</v>
      </c>
      <c r="H25">
        <v>41</v>
      </c>
      <c r="I25" s="2">
        <v>5</v>
      </c>
      <c r="J25" t="s">
        <v>26</v>
      </c>
      <c r="K25" t="s">
        <v>27</v>
      </c>
      <c r="L25" t="s">
        <v>28</v>
      </c>
      <c r="M25" t="s">
        <v>96</v>
      </c>
      <c r="N25" s="2">
        <v>99.83</v>
      </c>
      <c r="O25" s="2">
        <v>110</v>
      </c>
      <c r="P25" s="2">
        <f>ApprovedTimeReport_002_2024106[[#This Row],[CostRate w/ Taxes]]*ApprovedTimeReport_002_2024106[[#This Row],[Time Actual]]</f>
        <v>550</v>
      </c>
      <c r="Q25" t="s">
        <v>21</v>
      </c>
      <c r="R25" t="str">
        <f>VLOOKUP(A:A,Vlookup!A:B,2,0)</f>
        <v>NB</v>
      </c>
    </row>
    <row r="26" spans="1:18" x14ac:dyDescent="0.25">
      <c r="A26" t="s">
        <v>25</v>
      </c>
      <c r="B26" s="1">
        <v>45575</v>
      </c>
      <c r="C26" s="1">
        <v>45580</v>
      </c>
      <c r="D26" t="s">
        <v>19</v>
      </c>
      <c r="E26">
        <v>2024</v>
      </c>
      <c r="F26">
        <v>10</v>
      </c>
      <c r="G26">
        <v>10</v>
      </c>
      <c r="H26">
        <v>41</v>
      </c>
      <c r="I26" s="2">
        <v>6</v>
      </c>
      <c r="J26" t="s">
        <v>26</v>
      </c>
      <c r="K26" t="s">
        <v>27</v>
      </c>
      <c r="L26" t="s">
        <v>28</v>
      </c>
      <c r="M26" t="s">
        <v>98</v>
      </c>
      <c r="N26" s="2">
        <v>99.83</v>
      </c>
      <c r="O26" s="2">
        <v>110</v>
      </c>
      <c r="P26" s="2">
        <f>ApprovedTimeReport_002_2024106[[#This Row],[CostRate w/ Taxes]]*ApprovedTimeReport_002_2024106[[#This Row],[Time Actual]]</f>
        <v>660</v>
      </c>
      <c r="Q26" t="s">
        <v>21</v>
      </c>
      <c r="R26" t="str">
        <f>VLOOKUP(A:A,Vlookup!A:B,2,0)</f>
        <v>NB</v>
      </c>
    </row>
    <row r="27" spans="1:18" x14ac:dyDescent="0.25">
      <c r="A27" t="s">
        <v>25</v>
      </c>
      <c r="B27" s="1">
        <v>45574</v>
      </c>
      <c r="C27" s="1">
        <v>45580</v>
      </c>
      <c r="D27" t="s">
        <v>19</v>
      </c>
      <c r="E27">
        <v>2024</v>
      </c>
      <c r="F27">
        <v>10</v>
      </c>
      <c r="G27">
        <v>9</v>
      </c>
      <c r="H27">
        <v>41</v>
      </c>
      <c r="I27" s="2">
        <v>4</v>
      </c>
      <c r="J27" t="s">
        <v>26</v>
      </c>
      <c r="K27" t="s">
        <v>27</v>
      </c>
      <c r="L27" t="s">
        <v>28</v>
      </c>
      <c r="M27" t="s">
        <v>102</v>
      </c>
      <c r="N27" s="2">
        <v>99.83</v>
      </c>
      <c r="O27" s="2">
        <v>110</v>
      </c>
      <c r="P27" s="2">
        <f>ApprovedTimeReport_002_2024106[[#This Row],[CostRate w/ Taxes]]*ApprovedTimeReport_002_2024106[[#This Row],[Time Actual]]</f>
        <v>440</v>
      </c>
      <c r="Q27" t="s">
        <v>21</v>
      </c>
      <c r="R27" t="str">
        <f>VLOOKUP(A:A,Vlookup!A:B,2,0)</f>
        <v>NB</v>
      </c>
    </row>
    <row r="28" spans="1:18" x14ac:dyDescent="0.25">
      <c r="A28" t="s">
        <v>25</v>
      </c>
      <c r="B28" s="1">
        <v>45573</v>
      </c>
      <c r="C28" s="1">
        <v>45580</v>
      </c>
      <c r="D28" t="s">
        <v>19</v>
      </c>
      <c r="E28">
        <v>2024</v>
      </c>
      <c r="F28">
        <v>10</v>
      </c>
      <c r="G28">
        <v>8</v>
      </c>
      <c r="H28">
        <v>41</v>
      </c>
      <c r="I28" s="2">
        <v>6</v>
      </c>
      <c r="J28" t="s">
        <v>26</v>
      </c>
      <c r="K28" t="s">
        <v>27</v>
      </c>
      <c r="L28" t="s">
        <v>28</v>
      </c>
      <c r="M28" t="s">
        <v>103</v>
      </c>
      <c r="N28" s="2">
        <v>99.83</v>
      </c>
      <c r="O28" s="2">
        <v>110</v>
      </c>
      <c r="P28" s="2">
        <f>ApprovedTimeReport_002_2024106[[#This Row],[CostRate w/ Taxes]]*ApprovedTimeReport_002_2024106[[#This Row],[Time Actual]]</f>
        <v>660</v>
      </c>
      <c r="Q28" t="s">
        <v>21</v>
      </c>
      <c r="R28" t="str">
        <f>VLOOKUP(A:A,Vlookup!A:B,2,0)</f>
        <v>NB</v>
      </c>
    </row>
    <row r="29" spans="1:18" x14ac:dyDescent="0.25">
      <c r="A29" t="s">
        <v>25</v>
      </c>
      <c r="B29" s="1">
        <v>45572</v>
      </c>
      <c r="C29" s="1">
        <v>45573</v>
      </c>
      <c r="D29" t="s">
        <v>19</v>
      </c>
      <c r="E29">
        <v>2024</v>
      </c>
      <c r="F29">
        <v>10</v>
      </c>
      <c r="G29">
        <v>7</v>
      </c>
      <c r="H29">
        <v>41</v>
      </c>
      <c r="I29" s="2">
        <v>8</v>
      </c>
      <c r="J29" t="s">
        <v>26</v>
      </c>
      <c r="K29" t="s">
        <v>27</v>
      </c>
      <c r="L29" t="s">
        <v>28</v>
      </c>
      <c r="M29" t="s">
        <v>107</v>
      </c>
      <c r="N29" s="2">
        <v>99.83</v>
      </c>
      <c r="O29" s="2">
        <v>110</v>
      </c>
      <c r="P29" s="2">
        <f>ApprovedTimeReport_002_2024106[[#This Row],[CostRate w/ Taxes]]*ApprovedTimeReport_002_2024106[[#This Row],[Time Actual]]</f>
        <v>880</v>
      </c>
      <c r="Q29" t="s">
        <v>21</v>
      </c>
      <c r="R29" t="str">
        <f>VLOOKUP(A:A,Vlookup!A:B,2,0)</f>
        <v>NB</v>
      </c>
    </row>
    <row r="30" spans="1:18" x14ac:dyDescent="0.25">
      <c r="A30" t="s">
        <v>25</v>
      </c>
      <c r="B30" s="1">
        <v>45569</v>
      </c>
      <c r="C30" s="1">
        <v>45572</v>
      </c>
      <c r="D30" t="s">
        <v>19</v>
      </c>
      <c r="E30">
        <v>2024</v>
      </c>
      <c r="F30">
        <v>10</v>
      </c>
      <c r="G30">
        <v>4</v>
      </c>
      <c r="H30">
        <v>40</v>
      </c>
      <c r="I30" s="2">
        <v>8</v>
      </c>
      <c r="J30" t="s">
        <v>26</v>
      </c>
      <c r="K30" t="s">
        <v>27</v>
      </c>
      <c r="L30" t="s">
        <v>28</v>
      </c>
      <c r="M30" t="s">
        <v>109</v>
      </c>
      <c r="N30" s="2">
        <v>99.83</v>
      </c>
      <c r="O30" s="2">
        <v>110</v>
      </c>
      <c r="P30" s="2">
        <f>ApprovedTimeReport_002_2024106[[#This Row],[CostRate w/ Taxes]]*ApprovedTimeReport_002_2024106[[#This Row],[Time Actual]]</f>
        <v>880</v>
      </c>
      <c r="Q30" t="s">
        <v>21</v>
      </c>
      <c r="R30" t="str">
        <f>VLOOKUP(A:A,Vlookup!A:B,2,0)</f>
        <v>NB</v>
      </c>
    </row>
    <row r="31" spans="1:18" x14ac:dyDescent="0.25">
      <c r="A31" t="s">
        <v>25</v>
      </c>
      <c r="B31" s="1">
        <v>45568</v>
      </c>
      <c r="C31" s="1">
        <v>45572</v>
      </c>
      <c r="D31" t="s">
        <v>19</v>
      </c>
      <c r="E31">
        <v>2024</v>
      </c>
      <c r="F31">
        <v>10</v>
      </c>
      <c r="G31">
        <v>3</v>
      </c>
      <c r="H31">
        <v>40</v>
      </c>
      <c r="I31" s="2">
        <v>6</v>
      </c>
      <c r="J31" t="s">
        <v>26</v>
      </c>
      <c r="K31" t="s">
        <v>27</v>
      </c>
      <c r="L31" t="s">
        <v>28</v>
      </c>
      <c r="M31" t="s">
        <v>110</v>
      </c>
      <c r="N31" s="2">
        <v>99.83</v>
      </c>
      <c r="O31" s="2">
        <v>110</v>
      </c>
      <c r="P31" s="2">
        <f>ApprovedTimeReport_002_2024106[[#This Row],[CostRate w/ Taxes]]*ApprovedTimeReport_002_2024106[[#This Row],[Time Actual]]</f>
        <v>660</v>
      </c>
      <c r="Q31" t="s">
        <v>21</v>
      </c>
      <c r="R31" t="str">
        <f>VLOOKUP(A:A,Vlookup!A:B,2,0)</f>
        <v>NB</v>
      </c>
    </row>
    <row r="32" spans="1:18" x14ac:dyDescent="0.25">
      <c r="A32" t="s">
        <v>25</v>
      </c>
      <c r="B32" s="1">
        <v>45567</v>
      </c>
      <c r="C32" s="1">
        <v>45572</v>
      </c>
      <c r="D32" t="s">
        <v>19</v>
      </c>
      <c r="E32">
        <v>2024</v>
      </c>
      <c r="F32">
        <v>10</v>
      </c>
      <c r="G32">
        <v>2</v>
      </c>
      <c r="H32">
        <v>40</v>
      </c>
      <c r="I32" s="2">
        <v>6</v>
      </c>
      <c r="J32" t="s">
        <v>26</v>
      </c>
      <c r="K32" t="s">
        <v>27</v>
      </c>
      <c r="L32" t="s">
        <v>28</v>
      </c>
      <c r="M32" t="s">
        <v>112</v>
      </c>
      <c r="N32" s="2">
        <v>99.83</v>
      </c>
      <c r="O32" s="2">
        <v>110</v>
      </c>
      <c r="P32" s="2">
        <f>ApprovedTimeReport_002_2024106[[#This Row],[CostRate w/ Taxes]]*ApprovedTimeReport_002_2024106[[#This Row],[Time Actual]]</f>
        <v>660</v>
      </c>
      <c r="Q32" t="s">
        <v>21</v>
      </c>
      <c r="R32" t="str">
        <f>VLOOKUP(A:A,Vlookup!A:B,2,0)</f>
        <v>NB</v>
      </c>
    </row>
    <row r="33" spans="1:18" x14ac:dyDescent="0.25">
      <c r="A33" t="s">
        <v>25</v>
      </c>
      <c r="B33" s="1">
        <v>45566</v>
      </c>
      <c r="C33" s="1">
        <v>45572</v>
      </c>
      <c r="D33" t="s">
        <v>19</v>
      </c>
      <c r="E33">
        <v>2024</v>
      </c>
      <c r="F33">
        <v>10</v>
      </c>
      <c r="G33">
        <v>1</v>
      </c>
      <c r="H33">
        <v>40</v>
      </c>
      <c r="I33" s="2">
        <v>7</v>
      </c>
      <c r="J33" t="s">
        <v>26</v>
      </c>
      <c r="K33" t="s">
        <v>27</v>
      </c>
      <c r="L33" t="s">
        <v>28</v>
      </c>
      <c r="M33" t="s">
        <v>113</v>
      </c>
      <c r="N33" s="2">
        <v>99.83</v>
      </c>
      <c r="O33" s="2">
        <v>110</v>
      </c>
      <c r="P33" s="2">
        <f>ApprovedTimeReport_002_2024106[[#This Row],[CostRate w/ Taxes]]*ApprovedTimeReport_002_2024106[[#This Row],[Time Actual]]</f>
        <v>770</v>
      </c>
      <c r="Q33" t="s">
        <v>21</v>
      </c>
      <c r="R33" t="str">
        <f>VLOOKUP(A:A,Vlookup!A:B,2,0)</f>
        <v>NB</v>
      </c>
    </row>
    <row r="34" spans="1:18" x14ac:dyDescent="0.25">
      <c r="A34" t="s">
        <v>89</v>
      </c>
      <c r="B34" s="1">
        <v>45581</v>
      </c>
      <c r="C34" s="1">
        <v>45589</v>
      </c>
      <c r="D34" t="s">
        <v>16</v>
      </c>
      <c r="E34">
        <v>2024</v>
      </c>
      <c r="F34">
        <v>10</v>
      </c>
      <c r="G34">
        <v>16</v>
      </c>
      <c r="H34">
        <v>42</v>
      </c>
      <c r="I34" s="2">
        <v>8</v>
      </c>
      <c r="J34" t="s">
        <v>26</v>
      </c>
      <c r="K34" t="s">
        <v>27</v>
      </c>
      <c r="L34" t="s">
        <v>17</v>
      </c>
      <c r="M34" t="s">
        <v>90</v>
      </c>
      <c r="N34" s="2">
        <v>86.43</v>
      </c>
      <c r="O34" s="2">
        <f>ApprovedTimeReport_002_2024106[[#This Row],[CostRate]]/0.9075</f>
        <v>95.239669421487619</v>
      </c>
      <c r="P34" s="2">
        <f>ApprovedTimeReport_002_2024106[[#This Row],[CostRate w/ Taxes]]*ApprovedTimeReport_002_2024106[[#This Row],[Time Actual]]</f>
        <v>761.91735537190095</v>
      </c>
      <c r="Q34" t="s">
        <v>21</v>
      </c>
      <c r="R34" t="str">
        <f>VLOOKUP(A:A,Vlookup!A:B,2,0)</f>
        <v>NB</v>
      </c>
    </row>
    <row r="35" spans="1:18" x14ac:dyDescent="0.25">
      <c r="A35" t="s">
        <v>70</v>
      </c>
      <c r="B35" s="1">
        <v>45589</v>
      </c>
      <c r="C35" s="1">
        <v>45595</v>
      </c>
      <c r="D35" t="s">
        <v>16</v>
      </c>
      <c r="E35">
        <v>2024</v>
      </c>
      <c r="F35">
        <v>10</v>
      </c>
      <c r="G35">
        <v>24</v>
      </c>
      <c r="H35">
        <v>43</v>
      </c>
      <c r="I35" s="2">
        <v>1</v>
      </c>
      <c r="J35" t="s">
        <v>26</v>
      </c>
      <c r="K35" t="s">
        <v>27</v>
      </c>
      <c r="L35" t="s">
        <v>17</v>
      </c>
      <c r="M35" t="s">
        <v>74</v>
      </c>
      <c r="N35" s="2">
        <v>99.83</v>
      </c>
      <c r="O35" s="2">
        <v>110</v>
      </c>
      <c r="P35" s="2">
        <f>ApprovedTimeReport_002_2024106[[#This Row],[CostRate w/ Taxes]]*ApprovedTimeReport_002_2024106[[#This Row],[Time Actual]]</f>
        <v>110</v>
      </c>
      <c r="Q35" t="s">
        <v>21</v>
      </c>
      <c r="R35" t="str">
        <f>VLOOKUP(A:A,Vlookup!A:B,2,0)</f>
        <v>NB</v>
      </c>
    </row>
    <row r="36" spans="1:18" x14ac:dyDescent="0.25">
      <c r="A36" t="s">
        <v>70</v>
      </c>
      <c r="B36" s="1">
        <v>45568</v>
      </c>
      <c r="C36" s="1">
        <v>45572</v>
      </c>
      <c r="D36" t="s">
        <v>16</v>
      </c>
      <c r="E36">
        <v>2024</v>
      </c>
      <c r="F36">
        <v>10</v>
      </c>
      <c r="G36">
        <v>3</v>
      </c>
      <c r="H36">
        <v>40</v>
      </c>
      <c r="I36" s="2">
        <v>2</v>
      </c>
      <c r="J36" t="s">
        <v>26</v>
      </c>
      <c r="K36" t="s">
        <v>27</v>
      </c>
      <c r="L36" t="s">
        <v>17</v>
      </c>
      <c r="M36" t="s">
        <v>111</v>
      </c>
      <c r="N36" s="2">
        <v>99.83</v>
      </c>
      <c r="O36" s="2">
        <v>110</v>
      </c>
      <c r="P36" s="2">
        <f>ApprovedTimeReport_002_2024106[[#This Row],[CostRate w/ Taxes]]*ApprovedTimeReport_002_2024106[[#This Row],[Time Actual]]</f>
        <v>220</v>
      </c>
      <c r="Q36" t="s">
        <v>21</v>
      </c>
      <c r="R36" t="str">
        <f>VLOOKUP(A:A,Vlookup!A:B,2,0)</f>
        <v>NB</v>
      </c>
    </row>
    <row r="37" spans="1:18" x14ac:dyDescent="0.25">
      <c r="A37" t="s">
        <v>52</v>
      </c>
      <c r="B37" s="1">
        <v>45594</v>
      </c>
      <c r="C37" s="1">
        <v>45595</v>
      </c>
      <c r="D37" t="s">
        <v>16</v>
      </c>
      <c r="E37">
        <v>2024</v>
      </c>
      <c r="F37">
        <v>10</v>
      </c>
      <c r="G37">
        <v>29</v>
      </c>
      <c r="H37">
        <v>44</v>
      </c>
      <c r="I37" s="2">
        <v>1</v>
      </c>
      <c r="J37" t="s">
        <v>26</v>
      </c>
      <c r="K37" t="s">
        <v>27</v>
      </c>
      <c r="L37" t="s">
        <v>17</v>
      </c>
      <c r="M37" t="s">
        <v>66</v>
      </c>
      <c r="N37" s="2">
        <v>99.83</v>
      </c>
      <c r="O37" s="2">
        <v>110</v>
      </c>
      <c r="P37" s="2">
        <f>ApprovedTimeReport_002_2024106[[#This Row],[CostRate w/ Taxes]]*ApprovedTimeReport_002_2024106[[#This Row],[Time Actual]]</f>
        <v>110</v>
      </c>
      <c r="Q37" t="s">
        <v>21</v>
      </c>
      <c r="R37" t="str">
        <f>VLOOKUP(A:A,Vlookup!A:B,2,0)</f>
        <v>NB</v>
      </c>
    </row>
    <row r="38" spans="1:18" x14ac:dyDescent="0.25">
      <c r="A38" t="s">
        <v>52</v>
      </c>
      <c r="B38" s="1">
        <v>45577</v>
      </c>
      <c r="C38" s="1">
        <v>45580</v>
      </c>
      <c r="D38" t="s">
        <v>16</v>
      </c>
      <c r="E38">
        <v>2024</v>
      </c>
      <c r="F38">
        <v>10</v>
      </c>
      <c r="G38">
        <v>12</v>
      </c>
      <c r="H38">
        <v>41</v>
      </c>
      <c r="I38" s="2">
        <v>2</v>
      </c>
      <c r="J38" t="s">
        <v>26</v>
      </c>
      <c r="K38" t="s">
        <v>27</v>
      </c>
      <c r="L38" t="s">
        <v>17</v>
      </c>
      <c r="M38" t="s">
        <v>94</v>
      </c>
      <c r="N38" s="2">
        <v>99.83</v>
      </c>
      <c r="O38" s="2">
        <v>110</v>
      </c>
      <c r="P38" s="2">
        <f>ApprovedTimeReport_002_2024106[[#This Row],[CostRate w/ Taxes]]*ApprovedTimeReport_002_2024106[[#This Row],[Time Actual]]</f>
        <v>220</v>
      </c>
      <c r="Q38" t="s">
        <v>21</v>
      </c>
      <c r="R38" t="str">
        <f>VLOOKUP(A:A,Vlookup!A:B,2,0)</f>
        <v>NB</v>
      </c>
    </row>
    <row r="39" spans="1:18" x14ac:dyDescent="0.25">
      <c r="A39" t="s">
        <v>78</v>
      </c>
      <c r="B39" s="1">
        <v>45588</v>
      </c>
      <c r="C39" s="1">
        <v>45595</v>
      </c>
      <c r="D39" t="s">
        <v>16</v>
      </c>
      <c r="E39">
        <v>2024</v>
      </c>
      <c r="F39">
        <v>10</v>
      </c>
      <c r="G39">
        <v>23</v>
      </c>
      <c r="H39">
        <v>43</v>
      </c>
      <c r="I39" s="2">
        <v>4</v>
      </c>
      <c r="J39" t="s">
        <v>26</v>
      </c>
      <c r="K39" t="s">
        <v>27</v>
      </c>
      <c r="L39" t="s">
        <v>28</v>
      </c>
      <c r="M39" t="s">
        <v>79</v>
      </c>
      <c r="N39" s="2">
        <v>86.43</v>
      </c>
      <c r="O39" s="2">
        <f>ApprovedTimeReport_002_2024106[[#This Row],[CostRate]]/0.9075</f>
        <v>95.239669421487619</v>
      </c>
      <c r="P39" s="2">
        <f>ApprovedTimeReport_002_2024106[[#This Row],[CostRate w/ Taxes]]*ApprovedTimeReport_002_2024106[[#This Row],[Time Actual]]</f>
        <v>380.95867768595048</v>
      </c>
      <c r="Q39" t="s">
        <v>21</v>
      </c>
      <c r="R39" t="str">
        <f>VLOOKUP(A:A,Vlookup!A:B,2,0)</f>
        <v>NB</v>
      </c>
    </row>
    <row r="40" spans="1:18" x14ac:dyDescent="0.25">
      <c r="B40" s="1"/>
      <c r="C40" s="1"/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EBC7-07B2-4DA1-A74E-37D7814D583B}">
  <dimension ref="A1:B108"/>
  <sheetViews>
    <sheetView topLeftCell="A71" workbookViewId="0">
      <selection activeCell="B106" sqref="B106"/>
    </sheetView>
  </sheetViews>
  <sheetFormatPr defaultRowHeight="15" x14ac:dyDescent="0.25"/>
  <cols>
    <col min="1" max="1" width="22.28515625" bestFit="1" customWidth="1"/>
    <col min="2" max="2" width="11.140625" bestFit="1" customWidth="1"/>
  </cols>
  <sheetData>
    <row r="1" spans="1:2" x14ac:dyDescent="0.25">
      <c r="A1" t="s">
        <v>0</v>
      </c>
      <c r="B1" t="s">
        <v>124</v>
      </c>
    </row>
    <row r="2" spans="1:2" x14ac:dyDescent="0.25">
      <c r="A2" t="s">
        <v>125</v>
      </c>
      <c r="B2" t="s">
        <v>126</v>
      </c>
    </row>
    <row r="3" spans="1:2" x14ac:dyDescent="0.25">
      <c r="A3" t="s">
        <v>127</v>
      </c>
      <c r="B3" t="s">
        <v>126</v>
      </c>
    </row>
    <row r="4" spans="1:2" x14ac:dyDescent="0.25">
      <c r="A4" t="s">
        <v>128</v>
      </c>
      <c r="B4" t="s">
        <v>126</v>
      </c>
    </row>
    <row r="5" spans="1:2" x14ac:dyDescent="0.25">
      <c r="A5" t="s">
        <v>129</v>
      </c>
      <c r="B5" t="s">
        <v>126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132</v>
      </c>
      <c r="B7" t="s">
        <v>126</v>
      </c>
    </row>
    <row r="8" spans="1:2" x14ac:dyDescent="0.25">
      <c r="A8" t="s">
        <v>133</v>
      </c>
      <c r="B8" t="s">
        <v>126</v>
      </c>
    </row>
    <row r="9" spans="1:2" x14ac:dyDescent="0.25">
      <c r="A9" t="s">
        <v>35</v>
      </c>
      <c r="B9" t="s">
        <v>126</v>
      </c>
    </row>
    <row r="10" spans="1:2" x14ac:dyDescent="0.25">
      <c r="A10" t="s">
        <v>15</v>
      </c>
      <c r="B10" t="s">
        <v>134</v>
      </c>
    </row>
    <row r="11" spans="1:2" x14ac:dyDescent="0.25">
      <c r="A11" t="s">
        <v>135</v>
      </c>
      <c r="B11" t="s">
        <v>134</v>
      </c>
    </row>
    <row r="12" spans="1:2" x14ac:dyDescent="0.25">
      <c r="A12" t="s">
        <v>59</v>
      </c>
      <c r="B12" t="s">
        <v>134</v>
      </c>
    </row>
    <row r="13" spans="1:2" x14ac:dyDescent="0.25">
      <c r="A13" t="s">
        <v>136</v>
      </c>
      <c r="B13" t="s">
        <v>126</v>
      </c>
    </row>
    <row r="14" spans="1:2" x14ac:dyDescent="0.25">
      <c r="A14" t="s">
        <v>73</v>
      </c>
      <c r="B14" t="s">
        <v>126</v>
      </c>
    </row>
    <row r="15" spans="1:2" x14ac:dyDescent="0.25">
      <c r="A15" t="s">
        <v>137</v>
      </c>
      <c r="B15" t="s">
        <v>126</v>
      </c>
    </row>
    <row r="16" spans="1:2" x14ac:dyDescent="0.25">
      <c r="A16" t="s">
        <v>138</v>
      </c>
      <c r="B16" t="s">
        <v>134</v>
      </c>
    </row>
    <row r="17" spans="1:2" x14ac:dyDescent="0.25">
      <c r="A17" t="s">
        <v>139</v>
      </c>
      <c r="B17" t="s">
        <v>126</v>
      </c>
    </row>
    <row r="18" spans="1:2" x14ac:dyDescent="0.25">
      <c r="A18" t="s">
        <v>140</v>
      </c>
      <c r="B18" t="s">
        <v>126</v>
      </c>
    </row>
    <row r="19" spans="1:2" x14ac:dyDescent="0.25">
      <c r="A19" t="s">
        <v>44</v>
      </c>
      <c r="B19" t="s">
        <v>126</v>
      </c>
    </row>
    <row r="20" spans="1:2" x14ac:dyDescent="0.25">
      <c r="A20" t="s">
        <v>141</v>
      </c>
      <c r="B20" t="s">
        <v>134</v>
      </c>
    </row>
    <row r="21" spans="1:2" x14ac:dyDescent="0.25">
      <c r="A21" t="s">
        <v>142</v>
      </c>
      <c r="B21" t="s">
        <v>126</v>
      </c>
    </row>
    <row r="22" spans="1:2" x14ac:dyDescent="0.25">
      <c r="A22" t="s">
        <v>143</v>
      </c>
      <c r="B22" t="s">
        <v>134</v>
      </c>
    </row>
    <row r="23" spans="1:2" x14ac:dyDescent="0.25">
      <c r="A23" t="s">
        <v>144</v>
      </c>
      <c r="B23" t="s">
        <v>134</v>
      </c>
    </row>
    <row r="24" spans="1:2" x14ac:dyDescent="0.25">
      <c r="A24" t="s">
        <v>145</v>
      </c>
      <c r="B24" t="s">
        <v>134</v>
      </c>
    </row>
    <row r="25" spans="1:2" x14ac:dyDescent="0.25">
      <c r="A25" t="s">
        <v>146</v>
      </c>
      <c r="B25" t="s">
        <v>126</v>
      </c>
    </row>
    <row r="26" spans="1:2" x14ac:dyDescent="0.25">
      <c r="A26" t="s">
        <v>147</v>
      </c>
      <c r="B26" t="s">
        <v>134</v>
      </c>
    </row>
    <row r="27" spans="1:2" x14ac:dyDescent="0.25">
      <c r="A27" t="s">
        <v>33</v>
      </c>
      <c r="B27" t="s">
        <v>126</v>
      </c>
    </row>
    <row r="28" spans="1:2" x14ac:dyDescent="0.25">
      <c r="A28" t="s">
        <v>31</v>
      </c>
      <c r="B28" t="s">
        <v>134</v>
      </c>
    </row>
    <row r="29" spans="1:2" x14ac:dyDescent="0.25">
      <c r="A29" t="s">
        <v>67</v>
      </c>
      <c r="B29" t="s">
        <v>134</v>
      </c>
    </row>
    <row r="30" spans="1:2" x14ac:dyDescent="0.25">
      <c r="A30" t="s">
        <v>148</v>
      </c>
      <c r="B30" t="s">
        <v>126</v>
      </c>
    </row>
    <row r="31" spans="1:2" x14ac:dyDescent="0.25">
      <c r="A31" t="s">
        <v>149</v>
      </c>
      <c r="B31" t="s">
        <v>134</v>
      </c>
    </row>
    <row r="32" spans="1:2" x14ac:dyDescent="0.25">
      <c r="A32" t="s">
        <v>150</v>
      </c>
      <c r="B32" t="s">
        <v>134</v>
      </c>
    </row>
    <row r="33" spans="1:2" x14ac:dyDescent="0.25">
      <c r="A33" t="s">
        <v>151</v>
      </c>
      <c r="B33" t="s">
        <v>134</v>
      </c>
    </row>
    <row r="34" spans="1:2" x14ac:dyDescent="0.25">
      <c r="A34" t="s">
        <v>41</v>
      </c>
      <c r="B34" t="s">
        <v>126</v>
      </c>
    </row>
    <row r="35" spans="1:2" x14ac:dyDescent="0.25">
      <c r="A35" t="s">
        <v>152</v>
      </c>
      <c r="B35" t="s">
        <v>134</v>
      </c>
    </row>
    <row r="36" spans="1:2" x14ac:dyDescent="0.25">
      <c r="A36" t="s">
        <v>18</v>
      </c>
      <c r="B36" t="s">
        <v>134</v>
      </c>
    </row>
    <row r="37" spans="1:2" x14ac:dyDescent="0.25">
      <c r="A37" t="s">
        <v>32</v>
      </c>
      <c r="B37" t="s">
        <v>131</v>
      </c>
    </row>
    <row r="38" spans="1:2" x14ac:dyDescent="0.25">
      <c r="A38" t="s">
        <v>153</v>
      </c>
      <c r="B38" t="s">
        <v>131</v>
      </c>
    </row>
    <row r="39" spans="1:2" x14ac:dyDescent="0.25">
      <c r="A39" t="s">
        <v>25</v>
      </c>
      <c r="B39" t="s">
        <v>131</v>
      </c>
    </row>
    <row r="40" spans="1:2" x14ac:dyDescent="0.25">
      <c r="A40" t="s">
        <v>119</v>
      </c>
      <c r="B40" t="s">
        <v>131</v>
      </c>
    </row>
    <row r="41" spans="1:2" x14ac:dyDescent="0.25">
      <c r="A41" t="s">
        <v>154</v>
      </c>
      <c r="B41" t="s">
        <v>131</v>
      </c>
    </row>
    <row r="42" spans="1:2" x14ac:dyDescent="0.25">
      <c r="A42" t="s">
        <v>155</v>
      </c>
      <c r="B42" t="s">
        <v>131</v>
      </c>
    </row>
    <row r="43" spans="1:2" x14ac:dyDescent="0.25">
      <c r="A43" t="s">
        <v>118</v>
      </c>
      <c r="B43" t="s">
        <v>131</v>
      </c>
    </row>
    <row r="44" spans="1:2" x14ac:dyDescent="0.25">
      <c r="A44" t="s">
        <v>82</v>
      </c>
      <c r="B44" t="s">
        <v>131</v>
      </c>
    </row>
    <row r="45" spans="1:2" x14ac:dyDescent="0.25">
      <c r="A45" t="s">
        <v>23</v>
      </c>
      <c r="B45" t="s">
        <v>131</v>
      </c>
    </row>
    <row r="46" spans="1:2" x14ac:dyDescent="0.25">
      <c r="A46" t="s">
        <v>78</v>
      </c>
      <c r="B46" t="s">
        <v>131</v>
      </c>
    </row>
    <row r="47" spans="1:2" x14ac:dyDescent="0.25">
      <c r="A47" t="s">
        <v>20</v>
      </c>
      <c r="B47" t="s">
        <v>131</v>
      </c>
    </row>
    <row r="48" spans="1:2" x14ac:dyDescent="0.25">
      <c r="A48" t="s">
        <v>81</v>
      </c>
      <c r="B48" t="s">
        <v>131</v>
      </c>
    </row>
    <row r="49" spans="1:2" x14ac:dyDescent="0.25">
      <c r="A49" t="s">
        <v>51</v>
      </c>
      <c r="B49" t="s">
        <v>131</v>
      </c>
    </row>
    <row r="50" spans="1:2" x14ac:dyDescent="0.25">
      <c r="A50" t="s">
        <v>50</v>
      </c>
      <c r="B50" t="s">
        <v>131</v>
      </c>
    </row>
    <row r="51" spans="1:2" x14ac:dyDescent="0.25">
      <c r="A51" t="s">
        <v>49</v>
      </c>
      <c r="B51" t="s">
        <v>131</v>
      </c>
    </row>
    <row r="52" spans="1:2" x14ac:dyDescent="0.25">
      <c r="A52" t="s">
        <v>92</v>
      </c>
      <c r="B52" t="s">
        <v>126</v>
      </c>
    </row>
    <row r="53" spans="1:2" x14ac:dyDescent="0.25">
      <c r="A53" t="s">
        <v>156</v>
      </c>
      <c r="B53" t="s">
        <v>134</v>
      </c>
    </row>
    <row r="54" spans="1:2" x14ac:dyDescent="0.25">
      <c r="A54" t="s">
        <v>157</v>
      </c>
      <c r="B54" t="s">
        <v>126</v>
      </c>
    </row>
    <row r="55" spans="1:2" x14ac:dyDescent="0.25">
      <c r="A55" t="s">
        <v>158</v>
      </c>
      <c r="B55" t="s">
        <v>134</v>
      </c>
    </row>
    <row r="56" spans="1:2" x14ac:dyDescent="0.25">
      <c r="A56" t="s">
        <v>159</v>
      </c>
      <c r="B56" t="s">
        <v>126</v>
      </c>
    </row>
    <row r="57" spans="1:2" x14ac:dyDescent="0.25">
      <c r="A57" t="s">
        <v>38</v>
      </c>
      <c r="B57" t="s">
        <v>134</v>
      </c>
    </row>
    <row r="58" spans="1:2" x14ac:dyDescent="0.25">
      <c r="A58" t="s">
        <v>61</v>
      </c>
      <c r="B58" t="s">
        <v>134</v>
      </c>
    </row>
    <row r="59" spans="1:2" x14ac:dyDescent="0.25">
      <c r="A59" t="s">
        <v>160</v>
      </c>
      <c r="B59" t="s">
        <v>134</v>
      </c>
    </row>
    <row r="60" spans="1:2" x14ac:dyDescent="0.25">
      <c r="A60" t="s">
        <v>161</v>
      </c>
      <c r="B60" t="s">
        <v>134</v>
      </c>
    </row>
    <row r="61" spans="1:2" x14ac:dyDescent="0.25">
      <c r="A61" t="s">
        <v>162</v>
      </c>
      <c r="B61" t="s">
        <v>134</v>
      </c>
    </row>
    <row r="62" spans="1:2" x14ac:dyDescent="0.25">
      <c r="A62" t="s">
        <v>55</v>
      </c>
      <c r="B62" t="s">
        <v>131</v>
      </c>
    </row>
    <row r="63" spans="1:2" x14ac:dyDescent="0.25">
      <c r="A63" t="s">
        <v>70</v>
      </c>
      <c r="B63" t="s">
        <v>131</v>
      </c>
    </row>
    <row r="64" spans="1:2" x14ac:dyDescent="0.25">
      <c r="A64" t="s">
        <v>52</v>
      </c>
      <c r="B64" t="s">
        <v>131</v>
      </c>
    </row>
    <row r="65" spans="1:2" x14ac:dyDescent="0.25">
      <c r="A65" t="s">
        <v>163</v>
      </c>
      <c r="B65" t="s">
        <v>131</v>
      </c>
    </row>
    <row r="66" spans="1:2" x14ac:dyDescent="0.25">
      <c r="A66" t="s">
        <v>63</v>
      </c>
      <c r="B66" t="s">
        <v>131</v>
      </c>
    </row>
    <row r="67" spans="1:2" x14ac:dyDescent="0.25">
      <c r="A67" t="s">
        <v>164</v>
      </c>
      <c r="B67" t="s">
        <v>134</v>
      </c>
    </row>
    <row r="68" spans="1:2" x14ac:dyDescent="0.25">
      <c r="A68" t="s">
        <v>37</v>
      </c>
      <c r="B68" t="s">
        <v>134</v>
      </c>
    </row>
    <row r="69" spans="1:2" x14ac:dyDescent="0.25">
      <c r="A69" t="s">
        <v>48</v>
      </c>
      <c r="B69" t="s">
        <v>126</v>
      </c>
    </row>
    <row r="70" spans="1:2" x14ac:dyDescent="0.25">
      <c r="A70" t="s">
        <v>68</v>
      </c>
      <c r="B70" t="s">
        <v>126</v>
      </c>
    </row>
    <row r="71" spans="1:2" x14ac:dyDescent="0.25">
      <c r="A71" t="s">
        <v>165</v>
      </c>
      <c r="B71" t="s">
        <v>134</v>
      </c>
    </row>
    <row r="72" spans="1:2" x14ac:dyDescent="0.25">
      <c r="A72" t="s">
        <v>166</v>
      </c>
      <c r="B72" t="s">
        <v>134</v>
      </c>
    </row>
    <row r="73" spans="1:2" x14ac:dyDescent="0.25">
      <c r="A73" t="s">
        <v>167</v>
      </c>
      <c r="B73" t="s">
        <v>134</v>
      </c>
    </row>
    <row r="74" spans="1:2" x14ac:dyDescent="0.25">
      <c r="A74" t="s">
        <v>168</v>
      </c>
      <c r="B74" t="s">
        <v>134</v>
      </c>
    </row>
    <row r="75" spans="1:2" x14ac:dyDescent="0.25">
      <c r="A75" t="s">
        <v>97</v>
      </c>
      <c r="B75" t="s">
        <v>134</v>
      </c>
    </row>
    <row r="76" spans="1:2" x14ac:dyDescent="0.25">
      <c r="A76" t="s">
        <v>87</v>
      </c>
      <c r="B76" t="s">
        <v>134</v>
      </c>
    </row>
    <row r="77" spans="1:2" x14ac:dyDescent="0.25">
      <c r="A77" t="s">
        <v>56</v>
      </c>
      <c r="B77" t="s">
        <v>131</v>
      </c>
    </row>
    <row r="78" spans="1:2" x14ac:dyDescent="0.25">
      <c r="A78" t="s">
        <v>62</v>
      </c>
      <c r="B78" t="s">
        <v>126</v>
      </c>
    </row>
    <row r="79" spans="1:2" x14ac:dyDescent="0.25">
      <c r="A79" t="s">
        <v>169</v>
      </c>
      <c r="B79" t="s">
        <v>134</v>
      </c>
    </row>
    <row r="80" spans="1:2" x14ac:dyDescent="0.25">
      <c r="A80" t="s">
        <v>170</v>
      </c>
      <c r="B80" t="s">
        <v>134</v>
      </c>
    </row>
    <row r="81" spans="1:2" x14ac:dyDescent="0.25">
      <c r="A81" t="s">
        <v>171</v>
      </c>
      <c r="B81" t="s">
        <v>126</v>
      </c>
    </row>
    <row r="82" spans="1:2" x14ac:dyDescent="0.25">
      <c r="A82" t="s">
        <v>65</v>
      </c>
      <c r="B82" t="s">
        <v>126</v>
      </c>
    </row>
    <row r="83" spans="1:2" x14ac:dyDescent="0.25">
      <c r="A83" t="s">
        <v>172</v>
      </c>
      <c r="B83" t="s">
        <v>134</v>
      </c>
    </row>
    <row r="84" spans="1:2" x14ac:dyDescent="0.25">
      <c r="A84" t="s">
        <v>120</v>
      </c>
      <c r="B84" t="s">
        <v>131</v>
      </c>
    </row>
    <row r="85" spans="1:2" x14ac:dyDescent="0.25">
      <c r="A85" t="s">
        <v>86</v>
      </c>
      <c r="B85" t="s">
        <v>131</v>
      </c>
    </row>
    <row r="86" spans="1:2" x14ac:dyDescent="0.25">
      <c r="A86" t="s">
        <v>53</v>
      </c>
      <c r="B86" t="s">
        <v>131</v>
      </c>
    </row>
    <row r="87" spans="1:2" x14ac:dyDescent="0.25">
      <c r="A87" t="s">
        <v>173</v>
      </c>
      <c r="B87" t="s">
        <v>134</v>
      </c>
    </row>
    <row r="88" spans="1:2" x14ac:dyDescent="0.25">
      <c r="A88" t="s">
        <v>174</v>
      </c>
      <c r="B88" t="s">
        <v>134</v>
      </c>
    </row>
    <row r="89" spans="1:2" x14ac:dyDescent="0.25">
      <c r="A89" t="s">
        <v>45</v>
      </c>
      <c r="B89" t="s">
        <v>126</v>
      </c>
    </row>
    <row r="90" spans="1:2" x14ac:dyDescent="0.25">
      <c r="A90" t="s">
        <v>58</v>
      </c>
      <c r="B90" t="s">
        <v>126</v>
      </c>
    </row>
    <row r="91" spans="1:2" x14ac:dyDescent="0.25">
      <c r="A91" t="s">
        <v>39</v>
      </c>
      <c r="B91" t="s">
        <v>126</v>
      </c>
    </row>
    <row r="92" spans="1:2" x14ac:dyDescent="0.25">
      <c r="A92" t="s">
        <v>57</v>
      </c>
      <c r="B92" t="s">
        <v>131</v>
      </c>
    </row>
    <row r="93" spans="1:2" x14ac:dyDescent="0.25">
      <c r="A93" t="s">
        <v>54</v>
      </c>
      <c r="B93" t="s">
        <v>131</v>
      </c>
    </row>
    <row r="94" spans="1:2" x14ac:dyDescent="0.25">
      <c r="A94" t="s">
        <v>175</v>
      </c>
      <c r="B94" t="s">
        <v>131</v>
      </c>
    </row>
    <row r="95" spans="1:2" x14ac:dyDescent="0.25">
      <c r="A95" t="s">
        <v>116</v>
      </c>
      <c r="B95" t="s">
        <v>131</v>
      </c>
    </row>
    <row r="96" spans="1:2" x14ac:dyDescent="0.25">
      <c r="A96" t="s">
        <v>176</v>
      </c>
      <c r="B96" t="s">
        <v>134</v>
      </c>
    </row>
    <row r="97" spans="1:2" x14ac:dyDescent="0.25">
      <c r="A97" t="s">
        <v>121</v>
      </c>
      <c r="B97" t="s">
        <v>131</v>
      </c>
    </row>
    <row r="98" spans="1:2" x14ac:dyDescent="0.25">
      <c r="A98" t="s">
        <v>177</v>
      </c>
      <c r="B98" t="s">
        <v>131</v>
      </c>
    </row>
    <row r="99" spans="1:2" x14ac:dyDescent="0.25">
      <c r="A99" t="s">
        <v>106</v>
      </c>
      <c r="B99" t="s">
        <v>126</v>
      </c>
    </row>
    <row r="100" spans="1:2" x14ac:dyDescent="0.25">
      <c r="A100" t="s">
        <v>42</v>
      </c>
      <c r="B100" t="s">
        <v>126</v>
      </c>
    </row>
    <row r="101" spans="1:2" x14ac:dyDescent="0.25">
      <c r="A101" t="s">
        <v>47</v>
      </c>
      <c r="B101" t="s">
        <v>126</v>
      </c>
    </row>
    <row r="102" spans="1:2" x14ac:dyDescent="0.25">
      <c r="A102" t="s">
        <v>46</v>
      </c>
      <c r="B102" t="s">
        <v>126</v>
      </c>
    </row>
    <row r="103" spans="1:2" x14ac:dyDescent="0.25">
      <c r="A103" t="s">
        <v>115</v>
      </c>
      <c r="B103" t="s">
        <v>126</v>
      </c>
    </row>
    <row r="104" spans="1:2" x14ac:dyDescent="0.25">
      <c r="A104" t="s">
        <v>30</v>
      </c>
      <c r="B104" t="s">
        <v>134</v>
      </c>
    </row>
    <row r="105" spans="1:2" x14ac:dyDescent="0.25">
      <c r="A105" t="s">
        <v>89</v>
      </c>
      <c r="B105" t="s">
        <v>131</v>
      </c>
    </row>
    <row r="106" spans="1:2" x14ac:dyDescent="0.25">
      <c r="A106" t="s">
        <v>108</v>
      </c>
      <c r="B106" t="s">
        <v>131</v>
      </c>
    </row>
    <row r="107" spans="1:2" x14ac:dyDescent="0.25">
      <c r="A107" s="3" t="s">
        <v>22</v>
      </c>
      <c r="B107" s="3" t="s">
        <v>134</v>
      </c>
    </row>
    <row r="108" spans="1:2" x14ac:dyDescent="0.25">
      <c r="A108" s="3" t="s">
        <v>83</v>
      </c>
      <c r="B108" s="3" t="s">
        <v>134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26947D-4FAB-4922-BD61-D3CF56CA0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Outubro 2024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2024-11-06T10:25:50Z</dcterms:created>
  <dcterms:modified xsi:type="dcterms:W3CDTF">2024-11-08T15:22:21Z</dcterms:modified>
</cp:coreProperties>
</file>