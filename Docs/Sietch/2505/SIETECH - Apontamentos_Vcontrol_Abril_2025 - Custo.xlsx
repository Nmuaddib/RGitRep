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eu Drive\Area de trabalho\OCs - Fornecedores\3- MARÇO\"/>
    </mc:Choice>
  </mc:AlternateContent>
  <xr:revisionPtr revIDLastSave="0" documentId="8_{05EE8F59-C698-4452-B7C9-C05A755D1FA4}" xr6:coauthVersionLast="47" xr6:coauthVersionMax="47" xr10:uidLastSave="{00000000-0000-0000-0000-000000000000}"/>
  <bookViews>
    <workbookView xWindow="28680" yWindow="-120" windowWidth="20730" windowHeight="11040" xr2:uid="{AFE9ED7E-4882-440F-A680-577D3A39696B}"/>
  </bookViews>
  <sheets>
    <sheet name="Summary" sheetId="5" r:id="rId1"/>
    <sheet name="Abril 2025" sheetId="3" r:id="rId2"/>
    <sheet name="Vlookup" sheetId="4" r:id="rId3"/>
  </sheets>
  <definedNames>
    <definedName name="DadosExternos_1" localSheetId="1" hidden="1">'Abril 2025'!$A$1:$R$58</definedName>
  </definedNames>
  <calcPr calcId="191029"/>
  <pivotCaches>
    <pivotCache cacheId="19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3" l="1"/>
  <c r="P49" i="3" s="1"/>
  <c r="O50" i="3"/>
  <c r="P50" i="3" s="1"/>
  <c r="O51" i="3"/>
  <c r="P51" i="3" s="1"/>
  <c r="O52" i="3"/>
  <c r="P52" i="3"/>
  <c r="O53" i="3"/>
  <c r="P53" i="3" s="1"/>
  <c r="O54" i="3"/>
  <c r="P54" i="3" s="1"/>
  <c r="O55" i="3"/>
  <c r="P55" i="3" s="1"/>
  <c r="O56" i="3"/>
  <c r="P56" i="3" s="1"/>
  <c r="R56" i="3"/>
  <c r="O57" i="3"/>
  <c r="P57" i="3" s="1"/>
  <c r="R57" i="3"/>
  <c r="O58" i="3"/>
  <c r="P58" i="3" s="1"/>
  <c r="R58" i="3"/>
  <c r="O2" i="3"/>
  <c r="P2" i="3" s="1"/>
  <c r="R2" i="3"/>
  <c r="O3" i="3"/>
  <c r="P3" i="3" s="1"/>
  <c r="R3" i="3"/>
  <c r="O4" i="3"/>
  <c r="P4" i="3" s="1"/>
  <c r="R4" i="3"/>
  <c r="O5" i="3"/>
  <c r="P5" i="3"/>
  <c r="R5" i="3"/>
  <c r="O6" i="3"/>
  <c r="P6" i="3" s="1"/>
  <c r="R6" i="3"/>
  <c r="O7" i="3"/>
  <c r="P7" i="3" s="1"/>
  <c r="R7" i="3"/>
  <c r="O8" i="3"/>
  <c r="P8" i="3" s="1"/>
  <c r="R8" i="3"/>
  <c r="O9" i="3"/>
  <c r="P9" i="3" s="1"/>
  <c r="R9" i="3"/>
  <c r="O10" i="3"/>
  <c r="P10" i="3" s="1"/>
  <c r="R10" i="3"/>
  <c r="O11" i="3"/>
  <c r="P11" i="3" s="1"/>
  <c r="R11" i="3"/>
  <c r="O12" i="3"/>
  <c r="P12" i="3"/>
  <c r="R12" i="3"/>
  <c r="O13" i="3"/>
  <c r="P13" i="3" s="1"/>
  <c r="R13" i="3"/>
  <c r="O14" i="3"/>
  <c r="P14" i="3" s="1"/>
  <c r="R14" i="3"/>
  <c r="O15" i="3"/>
  <c r="P15" i="3"/>
  <c r="R15" i="3"/>
  <c r="O16" i="3"/>
  <c r="P16" i="3" s="1"/>
  <c r="R16" i="3"/>
  <c r="O17" i="3"/>
  <c r="P17" i="3" s="1"/>
  <c r="R17" i="3"/>
  <c r="O18" i="3"/>
  <c r="P18" i="3" s="1"/>
  <c r="R18" i="3"/>
  <c r="O19" i="3"/>
  <c r="P19" i="3" s="1"/>
  <c r="R19" i="3"/>
  <c r="O20" i="3"/>
  <c r="P20" i="3" s="1"/>
  <c r="R20" i="3"/>
  <c r="O21" i="3"/>
  <c r="P21" i="3"/>
  <c r="R21" i="3"/>
  <c r="O22" i="3"/>
  <c r="P22" i="3" s="1"/>
  <c r="R22" i="3"/>
  <c r="O23" i="3"/>
  <c r="P23" i="3" s="1"/>
  <c r="R23" i="3"/>
  <c r="O24" i="3"/>
  <c r="P24" i="3" s="1"/>
  <c r="R24" i="3"/>
  <c r="O25" i="3"/>
  <c r="P25" i="3" s="1"/>
  <c r="R25" i="3"/>
  <c r="O26" i="3"/>
  <c r="P26" i="3"/>
  <c r="R26" i="3"/>
  <c r="O27" i="3"/>
  <c r="P27" i="3" s="1"/>
  <c r="R27" i="3"/>
  <c r="O28" i="3"/>
  <c r="P28" i="3"/>
  <c r="R28" i="3"/>
  <c r="O29" i="3"/>
  <c r="P29" i="3" s="1"/>
  <c r="R29" i="3"/>
  <c r="O30" i="3"/>
  <c r="P30" i="3"/>
  <c r="R30" i="3"/>
  <c r="O31" i="3"/>
  <c r="P31" i="3" s="1"/>
  <c r="R31" i="3"/>
  <c r="O32" i="3"/>
  <c r="P32" i="3"/>
  <c r="R32" i="3"/>
  <c r="O33" i="3"/>
  <c r="P33" i="3" s="1"/>
  <c r="R33" i="3"/>
  <c r="O34" i="3"/>
  <c r="P34" i="3"/>
  <c r="R34" i="3"/>
  <c r="O35" i="3"/>
  <c r="P35" i="3" s="1"/>
  <c r="R35" i="3"/>
  <c r="O36" i="3"/>
  <c r="P36" i="3"/>
  <c r="R36" i="3"/>
  <c r="O37" i="3"/>
  <c r="P37" i="3" s="1"/>
  <c r="R37" i="3"/>
  <c r="O38" i="3"/>
  <c r="P38" i="3" s="1"/>
  <c r="O39" i="3"/>
  <c r="P39" i="3"/>
  <c r="O40" i="3"/>
  <c r="P40" i="3" s="1"/>
  <c r="O41" i="3"/>
  <c r="P41" i="3" s="1"/>
  <c r="O42" i="3"/>
  <c r="P42" i="3" s="1"/>
  <c r="O43" i="3"/>
  <c r="P43" i="3"/>
  <c r="O44" i="3"/>
  <c r="P44" i="3" s="1"/>
  <c r="O45" i="3"/>
  <c r="P45" i="3" s="1"/>
  <c r="O46" i="3"/>
  <c r="P46" i="3" s="1"/>
  <c r="O47" i="3"/>
  <c r="P47" i="3" s="1"/>
  <c r="O48" i="3"/>
  <c r="P4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341B2-797E-4DAC-B0A2-0713C4D10EFE}" keepAlive="1" name="Consulta - ApprovedTimeReport_000_202549" description="Conexão com a consulta 'ApprovedTimeReport_000_202549' na pasta de trabalho." type="5" refreshedVersion="8" background="1" saveData="1">
    <dbPr connection="Provider=Microsoft.Mashup.OleDb.1;Data Source=$Workbook$;Location=ApprovedTimeReport_000_202549;Extended Properties=&quot;&quot;" command="SELECT * FROM [ApprovedTimeReport_000_202549]"/>
  </connection>
</connections>
</file>

<file path=xl/sharedStrings.xml><?xml version="1.0" encoding="utf-8"?>
<sst xmlns="http://schemas.openxmlformats.org/spreadsheetml/2006/main" count="782" uniqueCount="261">
  <si>
    <t>FunnelID</t>
  </si>
  <si>
    <t>CCID</t>
  </si>
  <si>
    <t>Work Date</t>
  </si>
  <si>
    <t>NBP-HERA</t>
  </si>
  <si>
    <t>SOW</t>
  </si>
  <si>
    <t>NBP-CAIOBA</t>
  </si>
  <si>
    <t>872-VCK478</t>
  </si>
  <si>
    <t>NBP-PREVENDA</t>
  </si>
  <si>
    <t>080-VckAnd</t>
  </si>
  <si>
    <t>4460-vck460</t>
  </si>
  <si>
    <t>Date TimeSheet</t>
  </si>
  <si>
    <t>Year</t>
  </si>
  <si>
    <t>Month</t>
  </si>
  <si>
    <t>Day</t>
  </si>
  <si>
    <t>Week</t>
  </si>
  <si>
    <t>Time Actual</t>
  </si>
  <si>
    <t>Company</t>
  </si>
  <si>
    <t>Resource Name</t>
  </si>
  <si>
    <t>Role</t>
  </si>
  <si>
    <t>Comments</t>
  </si>
  <si>
    <t>CostRate</t>
  </si>
  <si>
    <t>Customer Name</t>
  </si>
  <si>
    <t>NB-BITRIX</t>
  </si>
  <si>
    <t>Project Manager</t>
  </si>
  <si>
    <t>Vockan Consulting Ltda</t>
  </si>
  <si>
    <t>DOSCOBQAD</t>
  </si>
  <si>
    <t>NBP-PEVO110</t>
  </si>
  <si>
    <t>Sietech</t>
  </si>
  <si>
    <t>Nelson Simoes</t>
  </si>
  <si>
    <t>Alinhamento BPO Vcontrol</t>
  </si>
  <si>
    <t>068-vckcar</t>
  </si>
  <si>
    <t>NBP-PEVO122</t>
  </si>
  <si>
    <t>12345-VCK123</t>
  </si>
  <si>
    <t>876-VCK490</t>
  </si>
  <si>
    <t>Freudenberg Nok Comp Br Ltd</t>
  </si>
  <si>
    <t>002-VCKDSCPQAD</t>
  </si>
  <si>
    <t>NB01</t>
  </si>
  <si>
    <t>NB-Projetos e Consultoria</t>
  </si>
  <si>
    <t>NBP-PEVO123</t>
  </si>
  <si>
    <t>952-VCK446</t>
  </si>
  <si>
    <t>OXBO DO BRASIL EQUIPAMENTOS</t>
  </si>
  <si>
    <t>NBP-Capacitacao</t>
  </si>
  <si>
    <t>NBP-PEVO99</t>
  </si>
  <si>
    <t>Scrum, 1:1 Andre</t>
  </si>
  <si>
    <t>Program Manager</t>
  </si>
  <si>
    <t>NB-Treinamento</t>
  </si>
  <si>
    <t>FUP Bitrix, alinhamento plano Lifetec</t>
  </si>
  <si>
    <t>4328-VCK1760</t>
  </si>
  <si>
    <t>ZF Passive Safety System Brazil Ltda</t>
  </si>
  <si>
    <t>8168-VCK514</t>
  </si>
  <si>
    <t>8170-VCK452</t>
  </si>
  <si>
    <t>Planejamento DEV, revisão backlog, alinhamento com Cestari</t>
  </si>
  <si>
    <t>APTIV Man e Serv de Distr. Ltda</t>
  </si>
  <si>
    <t>496-VCK472</t>
  </si>
  <si>
    <t>12594-VCK520</t>
  </si>
  <si>
    <t>610-VCK528</t>
  </si>
  <si>
    <t>8040-VCK490</t>
  </si>
  <si>
    <t>434-VCK448</t>
  </si>
  <si>
    <t>8102-VCK492</t>
  </si>
  <si>
    <t>Hanon Systems Climatizacao Do</t>
  </si>
  <si>
    <t>472-VCK450</t>
  </si>
  <si>
    <t>448-VCK494</t>
  </si>
  <si>
    <t>CO01</t>
  </si>
  <si>
    <t>7962-VCK448</t>
  </si>
  <si>
    <t>Tratamento de demanda DEV com Jefte, Marcia e Hilmar</t>
  </si>
  <si>
    <t>SUP-Apontamento</t>
  </si>
  <si>
    <t>SUP-Outros Projetos</t>
  </si>
  <si>
    <t>SUP-Reuniao</t>
  </si>
  <si>
    <t>USP15072</t>
  </si>
  <si>
    <t>SUP-Treinamento</t>
  </si>
  <si>
    <t>8172-VCK476</t>
  </si>
  <si>
    <t>458-VCK492</t>
  </si>
  <si>
    <t>8120-VCK508</t>
  </si>
  <si>
    <t>13690-VCK10458</t>
  </si>
  <si>
    <t>12558-VCK508</t>
  </si>
  <si>
    <t>Scrum, alinhamento DEV produtividade</t>
  </si>
  <si>
    <t>Visita Serac, Alinhamento HUF</t>
  </si>
  <si>
    <t>Alinhamento Roso sobre BPO Clarios, 1:1 Fabio, alinhamento Amvac</t>
  </si>
  <si>
    <t>131-VckAut</t>
  </si>
  <si>
    <t>2128-VCK490</t>
  </si>
  <si>
    <t>Tratamento QSM autokiniton, reunião semanal com PMO e agilista, alinhamento VBPO 543</t>
  </si>
  <si>
    <t>Reunião de renovação Adium</t>
  </si>
  <si>
    <t>7958-VCK446</t>
  </si>
  <si>
    <t>8274-VCK638</t>
  </si>
  <si>
    <t>Scrum, alinhamento de projetos com Fabricio</t>
  </si>
  <si>
    <t>872-VCK514</t>
  </si>
  <si>
    <t>4776-VCK488</t>
  </si>
  <si>
    <t>NB-VCC</t>
  </si>
  <si>
    <t>Alinhamento para renovação BPO Amvac</t>
  </si>
  <si>
    <t>Alinhamento Mueller, scrum, alinhamento DEV com NEO e controle de tratativas AR cego</t>
  </si>
  <si>
    <t>NB-Consultoria-Tec&amp;Dev</t>
  </si>
  <si>
    <t>12564-VCK504</t>
  </si>
  <si>
    <t>Levantamento para limpeza de dados</t>
  </si>
  <si>
    <t>Planejamento de Sprint DEV e tratamento de AR cego com equipe e Hilmar</t>
  </si>
  <si>
    <t>Tratamento de demandas do BPO</t>
  </si>
  <si>
    <t>4480-VCK504</t>
  </si>
  <si>
    <t>Preparação e apresentação de proposta Mauser</t>
  </si>
  <si>
    <t>Planejamento de Sprint, projeto de controle de produtividade com Giovana, definição de estrutura Solides DEV</t>
  </si>
  <si>
    <t>Acompanhamento de propostas e reunião semanal com André sobre bitrix</t>
  </si>
  <si>
    <t>Reunião com equipe de funcionais, alinhamento HUF sobre customizados</t>
  </si>
  <si>
    <t>Scrum, 1:1 André</t>
  </si>
  <si>
    <t>NB-Squad_DevTec</t>
  </si>
  <si>
    <t>Tratamento de planos de demandas adicionais</t>
  </si>
  <si>
    <t>Acompanhamento de demandas e reunião semanal com Cestari</t>
  </si>
  <si>
    <t>Acompanhamento de demandas no VBPO, tratamento com equipe de desenvolvedores</t>
  </si>
  <si>
    <t>950-VCK862</t>
  </si>
  <si>
    <t>Reunião com Hilmar sobre estrutura dev, scrum</t>
  </si>
  <si>
    <t>Preparação de material para reunião com funcionais (remuneração 70-30, form de levantamento), 1:1 Fabio</t>
  </si>
  <si>
    <t>Proposta Mauser Dev, All Hands, Alinhamento com equipe DEV</t>
  </si>
  <si>
    <t>2174-VCK448</t>
  </si>
  <si>
    <t>NB-BPO e PMO</t>
  </si>
  <si>
    <t>1:1 Andre, planejamento Lifetec, CX Bpo Agilista</t>
  </si>
  <si>
    <t>NBP-PE-PLAN12</t>
  </si>
  <si>
    <t>4522-VCK452</t>
  </si>
  <si>
    <t>NB-Suporte</t>
  </si>
  <si>
    <t>NBP-PEVO97</t>
  </si>
  <si>
    <t>Acompanhamento Bitrix com Alan e André, Alinhamento de plano Lifetech com Pedro, Reunião com Ana Bispo sobre Amvac, reunião com Zeissm entrega de POC</t>
  </si>
  <si>
    <t>NB-Scrum-Dev</t>
  </si>
  <si>
    <t>Fechamento de Sprint, reunião gerencial</t>
  </si>
  <si>
    <t>Scrum, all hands, reunião gerencial</t>
  </si>
  <si>
    <t>Alinhamento de atividades de suporte</t>
  </si>
  <si>
    <t>Preparação All hands e reunião gerencial, reunião com Fabio, alinhamento limpeza de dados Lifetech</t>
  </si>
  <si>
    <t>Tratamento de demanda BPO</t>
  </si>
  <si>
    <t>Alinhamento com equipe sobre plano de ação e reunião com Leopoldo.</t>
  </si>
  <si>
    <t>436-VCK520</t>
  </si>
  <si>
    <t>Scrum, reunião com Hilmar</t>
  </si>
  <si>
    <t>Reunião com Fabio, discovery nexteer para BPO, alinhamento de propostas</t>
  </si>
  <si>
    <t>Revisão de projetos - estimativas com time dev para conversões, reunião sobre plano Lifetech, scrum</t>
  </si>
  <si>
    <t>Revisão de Vcontrol, alinhamento com Fabio sobre consultores BPO</t>
  </si>
  <si>
    <t>Scrum, alinhamento tec com Parpinelli</t>
  </si>
  <si>
    <t>NBP-PLAN17</t>
  </si>
  <si>
    <t>Sprint semanal com Exchange, alinhamento de projetos com Daniel, tratamento de proposta Amvac, tratamento de VPO 732 Lifetech com Fabio Marcos e Parpinelli</t>
  </si>
  <si>
    <t>1:1 André, Alinhamento com Hilmar, Alinhamento com Alan</t>
  </si>
  <si>
    <t>NB-Universidades</t>
  </si>
  <si>
    <t>1:1 Fabio, tratamento de demanda autokiniton, Oxbo</t>
  </si>
  <si>
    <t>Acompanhamento de propostas, reunião semanal com André sobre oportunidades</t>
  </si>
  <si>
    <t>Reunião com Cestari para BPO, tratamento de demandas do backlog, alinhamento com Exchange</t>
  </si>
  <si>
    <t>Scrum, reunião com Marcia sobre questões Aptiv, alinhamento com Hilmar</t>
  </si>
  <si>
    <t>NBP-PLAN107</t>
  </si>
  <si>
    <t>Alinhamento de demanda emergencial com time DEV,</t>
  </si>
  <si>
    <t>Alinhamento melhorias Jira, reunião com Daniel e Guilherme, alinhamento com Fábio</t>
  </si>
  <si>
    <t>NBP-PE-PLAN10</t>
  </si>
  <si>
    <t>Alinhamento Nexteer, Alinhamento Adium, Alinhamento com Felipe para apoio de clientes de BPO</t>
  </si>
  <si>
    <t>NBP-PLAN-115</t>
  </si>
  <si>
    <t>Scrum, tratamento de demandas para subida de produção na segunda feira para Aptiv</t>
  </si>
  <si>
    <t>Alinhamento Android, scrum</t>
  </si>
  <si>
    <t>Sprint Semanal BPO Op</t>
  </si>
  <si>
    <t>Alinhamento Exchange CX, FUP BPO, definição de processo BPO</t>
  </si>
  <si>
    <t>1:1 Andre, planejamento sprint, alinhamento Lifetec</t>
  </si>
  <si>
    <t>Reunião de acompanhamento e atualização bitrix</t>
  </si>
  <si>
    <t>Alinhamento com Pérsio e Thiago, alinhamento com Cestari</t>
  </si>
  <si>
    <t>Tratamento de chamados AutoKiniton, alinhamento com Fábio sobre melhorias no Jira, documento com fluxo de BPO</t>
  </si>
  <si>
    <t>CostRate w/ Taxes</t>
  </si>
  <si>
    <t>Total Cost</t>
  </si>
  <si>
    <t>Project Type</t>
  </si>
  <si>
    <t>074-Vckadi</t>
  </si>
  <si>
    <t>FF</t>
  </si>
  <si>
    <t>095-vckadi</t>
  </si>
  <si>
    <t>128-VckAdi</t>
  </si>
  <si>
    <t>806-Vck446</t>
  </si>
  <si>
    <t>NB-Support</t>
  </si>
  <si>
    <t>NB</t>
  </si>
  <si>
    <t>049-VckAmv</t>
  </si>
  <si>
    <t>089-vckand</t>
  </si>
  <si>
    <t>A7lAPT28665</t>
  </si>
  <si>
    <t>T&amp;M</t>
  </si>
  <si>
    <t>010-VckBim</t>
  </si>
  <si>
    <t>115-VCKCER</t>
  </si>
  <si>
    <t>452-VCK476</t>
  </si>
  <si>
    <t>090-VckCnh</t>
  </si>
  <si>
    <t>368-VCK490</t>
  </si>
  <si>
    <t>100-VckHan</t>
  </si>
  <si>
    <t>043-VckHuf</t>
  </si>
  <si>
    <t>406-VCK498</t>
  </si>
  <si>
    <t>fwoJoy58673</t>
  </si>
  <si>
    <t>124-VckMue</t>
  </si>
  <si>
    <t>061-VckNid</t>
  </si>
  <si>
    <t>111-VckNid</t>
  </si>
  <si>
    <t>868-VCKNID</t>
  </si>
  <si>
    <t>046-VckOxb</t>
  </si>
  <si>
    <t>096-VckOxb</t>
  </si>
  <si>
    <t>484-VCK514</t>
  </si>
  <si>
    <t>093-Vckser</t>
  </si>
  <si>
    <t>001-VCKSIT</t>
  </si>
  <si>
    <t>002-VckSIT</t>
  </si>
  <si>
    <t>FWOSMR62794</t>
  </si>
  <si>
    <t>362-VCK528</t>
  </si>
  <si>
    <t>VCK692</t>
  </si>
  <si>
    <t>151-VckTow</t>
  </si>
  <si>
    <t>NB-CloudCert2023</t>
  </si>
  <si>
    <t>NBP-Governanca</t>
  </si>
  <si>
    <t>NBP-QADBR+_Lean</t>
  </si>
  <si>
    <t>154-vckZF</t>
  </si>
  <si>
    <t>155-vckZF</t>
  </si>
  <si>
    <t>088-VckZod</t>
  </si>
  <si>
    <t>097+110-vckadi</t>
  </si>
  <si>
    <t>127-VckAdi</t>
  </si>
  <si>
    <t>370-vck22</t>
  </si>
  <si>
    <t>788-VCK692</t>
  </si>
  <si>
    <t>858-VCK488</t>
  </si>
  <si>
    <t>ZF_894-VCK542</t>
  </si>
  <si>
    <t>NBP-Implantacao-BPO</t>
  </si>
  <si>
    <t>NBP-PE-PLAN23</t>
  </si>
  <si>
    <t>CSA</t>
  </si>
  <si>
    <t>860-VCK562</t>
  </si>
  <si>
    <t>862-VCK538</t>
  </si>
  <si>
    <t>884-VCK526</t>
  </si>
  <si>
    <t>886-VCK704</t>
  </si>
  <si>
    <t>890-VCK500</t>
  </si>
  <si>
    <t>944-VCK528</t>
  </si>
  <si>
    <t>1062-VCK466</t>
  </si>
  <si>
    <t>826-VCK504</t>
  </si>
  <si>
    <t>970-VCK514</t>
  </si>
  <si>
    <t>786-VCK538</t>
  </si>
  <si>
    <t>NBP-WEBUI-FIN</t>
  </si>
  <si>
    <t>984-VCK538</t>
  </si>
  <si>
    <t>480-VCK452</t>
  </si>
  <si>
    <t>NBP-PLAN-112</t>
  </si>
  <si>
    <t>NBP-Trein_Vendas</t>
  </si>
  <si>
    <t>NBP-WEBUI-LOC</t>
  </si>
  <si>
    <t>976-VCK510</t>
  </si>
  <si>
    <t>NBP-AMCHAM</t>
  </si>
  <si>
    <t>059-VckAdi</t>
  </si>
  <si>
    <t>888-vck446</t>
  </si>
  <si>
    <t>4320-VCK452</t>
  </si>
  <si>
    <t>4350-VCK514</t>
  </si>
  <si>
    <t>4520-VCK472</t>
  </si>
  <si>
    <t>NB-MKT</t>
  </si>
  <si>
    <t>968-vck452</t>
  </si>
  <si>
    <t>5012-VCK446</t>
  </si>
  <si>
    <t>4358-VCK510</t>
  </si>
  <si>
    <t>2024-VCK490</t>
  </si>
  <si>
    <t>2150-VCK494</t>
  </si>
  <si>
    <t>4348-VCK508</t>
  </si>
  <si>
    <t>4436-VCK446</t>
  </si>
  <si>
    <t>7950-VCK508</t>
  </si>
  <si>
    <t>8082-VCK638</t>
  </si>
  <si>
    <t>7938-VCK446</t>
  </si>
  <si>
    <t>7960-VCK446</t>
  </si>
  <si>
    <t>7988-VCK446</t>
  </si>
  <si>
    <t>8038-VCK452</t>
  </si>
  <si>
    <t>7956-VCK538</t>
  </si>
  <si>
    <t>8028-VCK510</t>
  </si>
  <si>
    <t>8124-VCK488</t>
  </si>
  <si>
    <t>8126-VCK510</t>
  </si>
  <si>
    <t>8132-VCK488</t>
  </si>
  <si>
    <t>8152-VCK452</t>
  </si>
  <si>
    <t>8184-VCK446</t>
  </si>
  <si>
    <t>NBP-PEVO116</t>
  </si>
  <si>
    <t>8296-VCK638</t>
  </si>
  <si>
    <t>Rótulos de Linha</t>
  </si>
  <si>
    <t>Total Geral</t>
  </si>
  <si>
    <t>Soma de Time Actual</t>
  </si>
  <si>
    <t>Soma de Total Cost</t>
  </si>
  <si>
    <t>Sietech Total</t>
  </si>
  <si>
    <t>FF Total</t>
  </si>
  <si>
    <t>NB Total</t>
  </si>
  <si>
    <t>T&amp;M Total</t>
  </si>
  <si>
    <t>BRP2622</t>
  </si>
  <si>
    <t>BRP2623</t>
  </si>
  <si>
    <t>BRP2624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</si>
</sst>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2" borderId="1" xfId="0" applyFill="1" applyBorder="1"/>
    <xf numFmtId="43" fontId="0" fillId="0" borderId="0" xfId="1" applyFont="1"/>
    <xf numFmtId="0" fontId="0" fillId="3" borderId="0" xfId="0" applyFill="1"/>
    <xf numFmtId="0" fontId="0" fillId="3" borderId="1" xfId="0" applyFill="1" applyBorder="1"/>
    <xf numFmtId="0" fontId="0" fillId="0" borderId="0" xfId="0" pivotButton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165" fontId="0" fillId="5" borderId="0" xfId="0" applyNumberFormat="1" applyFill="1"/>
    <xf numFmtId="165" fontId="0" fillId="4" borderId="0" xfId="0" applyNumberFormat="1" applyFill="1"/>
  </cellXfs>
  <cellStyles count="2">
    <cellStyle name="Normal" xfId="0" builtinId="0"/>
    <cellStyle name="Vírgula" xfId="1" builtinId="3"/>
  </cellStyles>
  <dxfs count="26"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fill>
        <patternFill patternType="solid">
          <bgColor rgb="FFFFFF00"/>
        </patternFill>
      </fill>
    </dxf>
    <dxf>
      <fill>
        <patternFill patternType="solid">
          <bgColor theme="3" tint="0.749992370372631"/>
        </patternFill>
      </fill>
    </dxf>
    <dxf>
      <numFmt numFmtId="165" formatCode="#,##0_ ;\-#,##0\ 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9" formatCode="m/d/yyyy"/>
    </dxf>
    <dxf>
      <numFmt numFmtId="19" formatCode="dd/mm/yyyy"/>
    </dxf>
    <dxf>
      <numFmt numFmtId="16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 Melo" refreshedDate="45786.568914930554" createdVersion="6" refreshedVersion="8" minRefreshableVersion="3" recordCount="1400" xr:uid="{583FBE03-9940-4FCC-84CC-2486C535BCEE}">
  <cacheSource type="worksheet">
    <worksheetSource ref="A1:R1048576" sheet="Abril 2025"/>
  </cacheSource>
  <cacheFields count="18">
    <cacheField name="FunnelID" numFmtId="0">
      <sharedItems containsBlank="1" count="75">
        <s v="8170-VCK452"/>
        <s v="876-VCK490"/>
        <s v="458-VCK492"/>
        <s v="8168-VCK514"/>
        <s v="NB-BITRIX"/>
        <s v="NB-BPO e PMO"/>
        <s v="NB-Consultoria-Tec&amp;Dev"/>
        <s v="NBP-PE-PLAN12"/>
        <s v="NBP-PEVO110"/>
        <s v="NBP-PEVO122"/>
        <s v="NBP-PEVO123"/>
        <s v="NBP-PEVO99"/>
        <s v="4328-VCK1760"/>
        <m/>
        <s v="7958-VCK446" u="1"/>
        <s v="952-VCK446" u="1"/>
        <s v="7962-VCK448" u="1"/>
        <s v="2174-VCK448" u="1"/>
        <s v="434-VCK448" u="1"/>
        <s v="NB-Suporte" u="1"/>
        <s v="080-VckAnd" u="1"/>
        <s v="472-VCK450" u="1"/>
        <s v="4522-VCK452" u="1"/>
        <s v="131-VckAut" u="1"/>
        <s v="4460-vck460" u="1"/>
        <s v="068-vckcar" u="1"/>
        <s v="496-VCK472" u="1"/>
        <s v="8172-VCK476" u="1"/>
        <s v="872-VCK478" u="1"/>
        <s v="2128-VCK490" u="1"/>
        <s v="8040-VCK490" u="1"/>
        <s v="8102-VCK492" u="1"/>
        <s v="448-VCK494" u="1"/>
        <s v="950-VCK862" u="1"/>
        <s v="12564-VCK504" u="1"/>
        <s v="4480-VCK504" u="1"/>
        <s v="12345-VCK123" u="1"/>
        <s v="12558-VCK508" u="1"/>
        <s v="8120-VCK508" u="1"/>
        <s v="872-VCK514" u="1"/>
        <s v="002-VCKDSCPQAD" u="1"/>
        <s v="8274-VCK638" u="1"/>
        <s v="USP15072" u="1"/>
        <s v="12594-VCK520" u="1"/>
        <s v="436-VCK520" u="1"/>
        <s v="610-VCK528" u="1"/>
        <s v="4776-VCK488" u="1"/>
        <s v="NBP-CAIOBA" u="1"/>
        <s v="NBP-Capacitacao" u="1"/>
        <s v="NBP-HERA" u="1"/>
        <s v="NBP-PE-PLAN10" u="1"/>
        <s v="NBP-PEVO102" u="1"/>
        <s v="NBP-PEVO103" u="1"/>
        <s v="NBP-PEVO104" u="1"/>
        <s v="NBP-PEVO107" u="1"/>
        <s v="NBP-PEVO120" u="1"/>
        <s v="NBP-PEVO128" u="1"/>
        <s v="NBP-PEVO129" u="1"/>
        <s v="NBP-PEVO130" u="1"/>
        <s v="NBP-PEVO131" u="1"/>
        <s v="NBP-PEVO132" u="1"/>
        <s v="NBP-PEVO135" u="1"/>
        <s v="NBP-PEVO96" u="1"/>
        <s v="NBP-PEVO97" u="1"/>
        <s v="NBP-PLAN107" u="1"/>
        <s v="NBP-PLAN-115" u="1"/>
        <s v="NBP-PLAN17" u="1"/>
        <s v="NBP-PREVENDA" u="1"/>
        <s v="NB-Projetos e Consultoria" u="1"/>
        <s v="NB-Scrum-Dev" u="1"/>
        <s v="NB-Squad_DevTec" u="1"/>
        <s v="NB-Treinamento" u="1"/>
        <s v="NB-Universidades" u="1"/>
        <s v="NB-VCC" u="1"/>
        <s v="SUP-Outros Projetos" u="1"/>
      </sharedItems>
    </cacheField>
    <cacheField name="Work Date" numFmtId="0">
      <sharedItems containsNonDate="0" containsDate="1" containsString="0" containsBlank="1" minDate="2025-04-01T00:00:00" maxDate="2025-05-01T00:00:00"/>
    </cacheField>
    <cacheField name="Date TimeSheet" numFmtId="0">
      <sharedItems containsNonDate="0" containsDate="1" containsString="0" containsBlank="1" minDate="2025-04-07T00:00:00" maxDate="2025-05-06T00:00:00"/>
    </cacheField>
    <cacheField name="CCID" numFmtId="0">
      <sharedItems containsBlank="1"/>
    </cacheField>
    <cacheField name="Year" numFmtId="0">
      <sharedItems containsString="0" containsBlank="1" containsNumber="1" containsInteger="1" minValue="2025" maxValue="2025"/>
    </cacheField>
    <cacheField name="Month" numFmtId="0">
      <sharedItems containsString="0" containsBlank="1" containsNumber="1" containsInteger="1" minValue="4" maxValue="4"/>
    </cacheField>
    <cacheField name="Day" numFmtId="0">
      <sharedItems containsString="0" containsBlank="1" containsNumber="1" containsInteger="1" minValue="1" maxValue="30"/>
    </cacheField>
    <cacheField name="Week" numFmtId="0">
      <sharedItems containsString="0" containsBlank="1" containsNumber="1" containsInteger="1" minValue="14" maxValue="18"/>
    </cacheField>
    <cacheField name="Time Actual" numFmtId="0">
      <sharedItems containsString="0" containsBlank="1" containsNumber="1" containsInteger="1" minValue="1" maxValue="6"/>
    </cacheField>
    <cacheField name="Company" numFmtId="0">
      <sharedItems containsBlank="1" count="30">
        <s v="Sietech"/>
        <m/>
        <s v="DMS" u="1"/>
        <s v="TFA" u="1"/>
        <s v="PHL" u="1"/>
        <s v="Ceta" u="1"/>
        <s v="WTK" u="1"/>
        <s v="RUAH" u="1"/>
        <s v="NHvala" u="1"/>
        <s v="Diando" u="1"/>
        <s v="Ana Gloria" u="1"/>
        <s v="CZ" u="1"/>
        <s v="CYP" u="1"/>
        <s v="Domain Informatica" u="1"/>
        <s v="Web Working" u="1"/>
        <s v="Bruno Bonadio Lopez" u="1"/>
        <s v="NEO" u="1"/>
        <s v="LAAM" u="1"/>
        <s v="LF Solucoes TI" u="1"/>
        <s v="Castrofrade TP" u="1"/>
        <s v="Bright Eleven" u="1"/>
        <s v="PamelaPC" u="1"/>
        <s v="GMB SERVICOS INFORMATICA" u="1"/>
        <s v="ISL" u="1"/>
        <s v="Vockan Consulting" u="1"/>
        <s v="KRMC" u="1"/>
        <s v="LGATTI" u="1"/>
        <s v="DR Tecnologia" u="1"/>
        <s v="Guilherme Loss Cons Tec Ltda" u="1"/>
        <s v="SGJ" u="1"/>
      </sharedItems>
    </cacheField>
    <cacheField name="Resource Name" numFmtId="0">
      <sharedItems containsBlank="1" count="46">
        <s v="Nelson Simoes"/>
        <m/>
        <s v="Andre Parpinelli-vk" u="1"/>
        <s v="Reginaldo Almeida-vk" u="1"/>
        <s v="Fabio Costa-vk" u="1"/>
        <s v="Ederson Alexandre-vk" u="1"/>
        <s v="Higo Scheunemann-vk" u="1"/>
        <s v="Diogo Aguiar-vk" u="1"/>
        <s v="Geraldo Silva-vk" u="1"/>
        <s v="Walter Augusto-vk" u="1"/>
        <s v="Thiago Queiros-vk" u="1"/>
        <s v="Nayara Hvala" u="1"/>
        <s v="Benedito Souza-vk" u="1"/>
        <s v="Ana Bispo" u="1"/>
        <s v="Leandro Senna-vk" u="1"/>
        <s v="Eduardo Provenzano-vk" u="1"/>
        <s v="Renato Louzada-vk" u="1"/>
        <s v="Leonardo Parrillo-vk" u="1"/>
        <s v="Marcia Silva-vk" u="1"/>
        <s v="Walter Braz-vk" u="1"/>
        <s v="Giovana Rodrigues" u="1"/>
        <s v="Bruno Bonadio" u="1"/>
        <s v="Edson Risso-vk" u="1"/>
        <s v="Luiz Alfredo-vk" u="1"/>
        <s v="Eduardo Moreno-vk" u="1"/>
        <s v="Leandro Francischinelli" u="1"/>
        <s v="Marcelo Frade" u="1"/>
        <s v="Carlos Pitondo-vk" u="1"/>
        <s v="Pedro Silva-vk" u="1"/>
        <s v="Jefte Villar-vk" u="1"/>
        <s v="Sergio Ziroldo-vk" u="1"/>
        <s v="Clovis Silva-vk" u="1"/>
        <s v="Jan Lustig" u="1"/>
        <s v="Pamela Pallazi" u="1"/>
        <s v="Gabriel Brigo-vk" u="1"/>
        <s v="Ismael Lopes-vk" u="1"/>
        <s v="Vinicius Knipers-vk" u="1"/>
        <s v="Kauane Rocha" u="1"/>
        <s v="Tiago Semidei" u="1"/>
        <s v="Sildemar Sousa-vk" u="1"/>
        <s v="Lincoln Gatti" u="1"/>
        <s v="Daniel Amaral-vk" u="1"/>
        <s v="Guilherme Loss" u="1"/>
        <s v="Sergio Gabriel" u="1"/>
        <s v="Marcelo Cunha-vk" u="1"/>
        <s v="Marcos Xavier" u="1"/>
      </sharedItems>
    </cacheField>
    <cacheField name="Role" numFmtId="0">
      <sharedItems containsBlank="1"/>
    </cacheField>
    <cacheField name="Comments" numFmtId="0">
      <sharedItems containsBlank="1"/>
    </cacheField>
    <cacheField name="CostRate" numFmtId="0">
      <sharedItems containsString="0" containsBlank="1" containsNumber="1" minValue="99.83" maxValue="157"/>
    </cacheField>
    <cacheField name="CostRate w/ Taxes" numFmtId="0">
      <sharedItems containsString="0" containsBlank="1" containsNumber="1" minValue="32.143250688705237" maxValue="1071.4269972451791" count="46">
        <n v="173.00275482093664"/>
        <n v="110.00550964187327"/>
        <m/>
        <n v="182.99724517906336" u="1"/>
        <n v="86.424242424242436" u="1"/>
        <n v="140" u="1"/>
        <n v="114.99724517906337" u="1"/>
        <n v="396.20936639118457" u="1"/>
        <n v="188.68319559228649" u="1"/>
        <n v="56" u="1"/>
        <n v="114.28099173553719" u="1"/>
        <n v="124" u="1"/>
        <n v="222.00550964187329" u="1"/>
        <n v="260.39669421487605" u="1"/>
        <n v="120.00000000000001" u="1"/>
        <n v="165.00275482093664" u="1"/>
        <n v="126.99724517906337" u="1"/>
        <n v="36.71625344352617" u="1"/>
        <n v="102.26997245179064" u="1"/>
        <n v="165.05785123966942" u="1"/>
        <n v="160" u="1"/>
        <n v="178.99724517906336" u="1"/>
        <n v="225" u="1"/>
        <n v="142.99724517906338" u="1"/>
        <n v="119.00826446280992" u="1"/>
        <n v="93.002754820936644" u="1"/>
        <n v="145.00055096418731" u="1"/>
        <n v="190.00550964187329" u="1"/>
        <n v="127.84573002754821" u="1"/>
        <n v="1071.4269972451791" u="1"/>
        <n v="104.89256198347107" u="1"/>
        <n v="96.000000000000014" u="1"/>
        <n v="109.78512396694215" u="1"/>
        <n v="61.663911845730027" u="1"/>
        <n v="65.002754820936644" u="1"/>
        <n v="35.085399449035812" u="1"/>
        <n v="32.143250688705237" u="1"/>
        <n v="360" u="1"/>
        <n v="150" u="1"/>
        <n v="114.97520661157026" u="1"/>
        <n v="157" u="1"/>
        <n v="196.4297520661157" u="1"/>
        <n v="58.03856749311295" u="1"/>
        <n v="195" u="1"/>
        <n v="106" u="1"/>
        <n v="121.00000000000001" u="1"/>
      </sharedItems>
    </cacheField>
    <cacheField name="Total Cost" numFmtId="0">
      <sharedItems containsString="0" containsBlank="1" containsNumber="1" minValue="110.00550964187327" maxValue="660.03305785123962"/>
    </cacheField>
    <cacheField name="Customer Name" numFmtId="0">
      <sharedItems containsBlank="1"/>
    </cacheField>
    <cacheField name="Project Type" numFmtId="0">
      <sharedItems containsBlank="1" count="4">
        <s v="FF"/>
        <s v="T&amp;M"/>
        <s v="N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x v="0"/>
    <d v="2025-04-22T00:00:00"/>
    <d v="2025-04-28T00:00:00"/>
    <s v="SOW"/>
    <n v="2025"/>
    <n v="4"/>
    <n v="22"/>
    <n v="17"/>
    <n v="2"/>
    <x v="0"/>
    <x v="0"/>
    <s v="Project Manager"/>
    <s v="Acompanhamento de demandas no VBPO, tratamento com equipe de desenvolvedores"/>
    <n v="157"/>
    <x v="0"/>
    <n v="346.00550964187329"/>
    <s v="APTIV Man e Serv de Distr. Ltda"/>
    <x v="0"/>
  </r>
  <r>
    <x v="0"/>
    <d v="2025-04-23T00:00:00"/>
    <d v="2025-04-28T00:00:00"/>
    <s v="SOW"/>
    <n v="2025"/>
    <n v="4"/>
    <n v="23"/>
    <n v="17"/>
    <n v="1"/>
    <x v="0"/>
    <x v="0"/>
    <s v="Project Manager"/>
    <s v="Acompanhamento de demandas e reunião semanal com Cestari"/>
    <n v="157"/>
    <x v="0"/>
    <n v="173.00275482093664"/>
    <s v="APTIV Man e Serv de Distr. Ltda"/>
    <x v="0"/>
  </r>
  <r>
    <x v="0"/>
    <d v="2025-04-24T00:00:00"/>
    <d v="2025-04-28T00:00:00"/>
    <s v="SOW"/>
    <n v="2025"/>
    <n v="4"/>
    <n v="24"/>
    <n v="17"/>
    <n v="1"/>
    <x v="0"/>
    <x v="0"/>
    <s v="Project Manager"/>
    <s v="Planejamento de Sprint DEV e tratamento de AR cego com equipe e Hilmar"/>
    <n v="157"/>
    <x v="0"/>
    <n v="173.00275482093664"/>
    <s v="APTIV Man e Serv de Distr. Ltda"/>
    <x v="0"/>
  </r>
  <r>
    <x v="0"/>
    <d v="2025-04-30T00:00:00"/>
    <d v="2025-05-05T00:00:00"/>
    <s v="SOW"/>
    <n v="2025"/>
    <n v="4"/>
    <n v="30"/>
    <n v="18"/>
    <n v="2"/>
    <x v="0"/>
    <x v="0"/>
    <s v="Project Manager"/>
    <s v="Planejamento DEV, revisão backlog, alinhamento com Cestari"/>
    <n v="157"/>
    <x v="0"/>
    <n v="346.00550964187329"/>
    <s v="APTIV Man e Serv de Distr. Ltda"/>
    <x v="0"/>
  </r>
  <r>
    <x v="1"/>
    <d v="2025-04-15T00:00:00"/>
    <d v="2025-04-22T00:00:00"/>
    <s v="SOW"/>
    <n v="2025"/>
    <n v="4"/>
    <n v="15"/>
    <n v="16"/>
    <n v="1"/>
    <x v="0"/>
    <x v="0"/>
    <s v="Project Manager"/>
    <s v="Alinhamento de atividades de suporte"/>
    <n v="157"/>
    <x v="0"/>
    <n v="173.00275482093664"/>
    <s v="Freudenberg Nok Comp Br Ltd"/>
    <x v="1"/>
  </r>
  <r>
    <x v="2"/>
    <d v="2025-04-15T00:00:00"/>
    <d v="2025-04-22T00:00:00"/>
    <s v="SOW"/>
    <n v="2025"/>
    <n v="4"/>
    <n v="15"/>
    <n v="16"/>
    <n v="1"/>
    <x v="0"/>
    <x v="0"/>
    <s v="Project Manager"/>
    <s v="Tratamento de demanda BPO"/>
    <n v="157"/>
    <x v="0"/>
    <n v="173.00275482093664"/>
    <s v="Hanon Systems Climatizacao Do"/>
    <x v="0"/>
  </r>
  <r>
    <x v="3"/>
    <d v="2025-04-07T00:00:00"/>
    <d v="2025-04-14T00:00:00"/>
    <s v="SOW"/>
    <n v="2025"/>
    <n v="4"/>
    <n v="7"/>
    <n v="15"/>
    <n v="2"/>
    <x v="0"/>
    <x v="0"/>
    <s v="Project Manager"/>
    <s v="Alinhamento de demanda emergencial com time DEV,"/>
    <n v="157"/>
    <x v="0"/>
    <n v="346.00550964187329"/>
    <s v="OXBO DO BRASIL EQUIPAMENTOS"/>
    <x v="0"/>
  </r>
  <r>
    <x v="3"/>
    <d v="2025-04-24T00:00:00"/>
    <d v="2025-04-28T00:00:00"/>
    <s v="SOW"/>
    <n v="2025"/>
    <n v="4"/>
    <n v="24"/>
    <n v="17"/>
    <n v="2"/>
    <x v="0"/>
    <x v="0"/>
    <s v="Project Manager"/>
    <s v="Tratamento de demandas do BPO"/>
    <n v="157"/>
    <x v="0"/>
    <n v="346.00550964187329"/>
    <s v="OXBO DO BRASIL EQUIPAMENTOS"/>
    <x v="0"/>
  </r>
  <r>
    <x v="3"/>
    <d v="2025-04-30T00:00:00"/>
    <d v="2025-05-05T00:00:00"/>
    <s v="SOW"/>
    <n v="2025"/>
    <n v="4"/>
    <n v="30"/>
    <n v="18"/>
    <n v="1"/>
    <x v="0"/>
    <x v="0"/>
    <s v="Project Manager"/>
    <s v="Tratamento de demanda DEV com Jefte, Marcia e Hilmar"/>
    <n v="157"/>
    <x v="0"/>
    <n v="173.00275482093664"/>
    <s v="OXBO DO BRASIL EQUIPAMENTOS"/>
    <x v="0"/>
  </r>
  <r>
    <x v="4"/>
    <d v="2025-04-02T00:00:00"/>
    <d v="2025-04-07T00:00:00"/>
    <s v="SOW"/>
    <n v="2025"/>
    <n v="4"/>
    <n v="2"/>
    <n v="14"/>
    <n v="2"/>
    <x v="0"/>
    <x v="0"/>
    <s v="Project Manager"/>
    <s v="Reunião de acompanhamento e atualização bitrix"/>
    <n v="99.83"/>
    <x v="1"/>
    <n v="220.01101928374655"/>
    <s v="Vockan Consulting Ltda"/>
    <x v="2"/>
  </r>
  <r>
    <x v="4"/>
    <d v="2025-04-09T00:00:00"/>
    <d v="2025-04-14T00:00:00"/>
    <s v="SOW"/>
    <n v="2025"/>
    <n v="4"/>
    <n v="9"/>
    <n v="15"/>
    <n v="2"/>
    <x v="0"/>
    <x v="0"/>
    <s v="Project Manager"/>
    <s v="Acompanhamento de propostas, reunião semanal com André sobre oportunidades"/>
    <n v="99.83"/>
    <x v="1"/>
    <n v="220.01101928374655"/>
    <s v="Vockan Consulting Ltda"/>
    <x v="2"/>
  </r>
  <r>
    <x v="5"/>
    <d v="2025-04-02T00:00:00"/>
    <d v="2025-04-07T00:00:00"/>
    <s v="CO01"/>
    <n v="2025"/>
    <n v="4"/>
    <n v="2"/>
    <n v="14"/>
    <n v="3"/>
    <x v="0"/>
    <x v="0"/>
    <s v="Project Manager"/>
    <s v="Alinhamento com Pérsio e Thiago, alinhamento com Cestari"/>
    <n v="99.83"/>
    <x v="1"/>
    <n v="330.01652892561981"/>
    <s v="Vockan Consulting Ltda"/>
    <x v="2"/>
  </r>
  <r>
    <x v="5"/>
    <d v="2025-04-03T00:00:00"/>
    <d v="2025-04-07T00:00:00"/>
    <s v="CO01"/>
    <n v="2025"/>
    <n v="4"/>
    <n v="3"/>
    <n v="14"/>
    <n v="5"/>
    <x v="0"/>
    <x v="0"/>
    <s v="Project Manager"/>
    <s v="Alinhamento Exchange CX, FUP BPO, definição de processo BPO"/>
    <n v="99.83"/>
    <x v="1"/>
    <n v="550.02754820936639"/>
    <s v="Vockan Consulting Ltda"/>
    <x v="2"/>
  </r>
  <r>
    <x v="5"/>
    <d v="2025-04-04T00:00:00"/>
    <d v="2025-04-07T00:00:00"/>
    <s v="CO01"/>
    <n v="2025"/>
    <n v="4"/>
    <n v="4"/>
    <n v="14"/>
    <n v="6"/>
    <x v="0"/>
    <x v="0"/>
    <s v="Project Manager"/>
    <s v="Alinhamento Nexteer, Alinhamento Adium, Alinhamento com Felipe para apoio de clientes de BPO"/>
    <n v="99.83"/>
    <x v="1"/>
    <n v="660.03305785123962"/>
    <s v="Vockan Consulting Ltda"/>
    <x v="2"/>
  </r>
  <r>
    <x v="5"/>
    <d v="2025-04-07T00:00:00"/>
    <d v="2025-04-14T00:00:00"/>
    <s v="CO01"/>
    <n v="2025"/>
    <n v="4"/>
    <n v="7"/>
    <n v="15"/>
    <n v="5"/>
    <x v="0"/>
    <x v="0"/>
    <s v="Project Manager"/>
    <s v="Alinhamento melhorias Jira, reunião com Daniel e Guilherme, alinhamento com Fábio"/>
    <n v="99.83"/>
    <x v="1"/>
    <n v="550.02754820936639"/>
    <s v="Vockan Consulting Ltda"/>
    <x v="2"/>
  </r>
  <r>
    <x v="5"/>
    <d v="2025-04-08T00:00:00"/>
    <d v="2025-04-14T00:00:00"/>
    <s v="CO01"/>
    <n v="2025"/>
    <n v="4"/>
    <n v="8"/>
    <n v="15"/>
    <n v="6"/>
    <x v="0"/>
    <x v="0"/>
    <s v="Project Manager"/>
    <s v="Reunião com Cestari para BPO, tratamento de demandas do backlog, alinhamento com Exchange"/>
    <n v="99.83"/>
    <x v="1"/>
    <n v="660.03305785123962"/>
    <s v="Vockan Consulting Ltda"/>
    <x v="2"/>
  </r>
  <r>
    <x v="5"/>
    <d v="2025-04-09T00:00:00"/>
    <d v="2025-04-14T00:00:00"/>
    <s v="CO01"/>
    <n v="2025"/>
    <n v="4"/>
    <n v="9"/>
    <n v="15"/>
    <n v="3"/>
    <x v="0"/>
    <x v="0"/>
    <s v="Project Manager"/>
    <s v="1:1 Fabio, tratamento de demanda autokiniton, Oxbo"/>
    <n v="99.83"/>
    <x v="1"/>
    <n v="330.01652892561981"/>
    <s v="Vockan Consulting Ltda"/>
    <x v="2"/>
  </r>
  <r>
    <x v="5"/>
    <d v="2025-04-10T00:00:00"/>
    <d v="2025-04-14T00:00:00"/>
    <s v="CO01"/>
    <n v="2025"/>
    <n v="4"/>
    <n v="10"/>
    <n v="15"/>
    <n v="6"/>
    <x v="0"/>
    <x v="0"/>
    <s v="Project Manager"/>
    <s v="Sprint semanal com Exchange, alinhamento de projetos com Daniel, tratamento de proposta Amvac, tratamento de VPO 732 Lifetech com Fabio Marcos e Parpinelli"/>
    <n v="99.83"/>
    <x v="1"/>
    <n v="660.03305785123962"/>
    <s v="Vockan Consulting Ltda"/>
    <x v="2"/>
  </r>
  <r>
    <x v="5"/>
    <d v="2025-04-11T00:00:00"/>
    <d v="2025-04-14T00:00:00"/>
    <s v="CO01"/>
    <n v="2025"/>
    <n v="4"/>
    <n v="11"/>
    <n v="15"/>
    <n v="2"/>
    <x v="0"/>
    <x v="0"/>
    <s v="Project Manager"/>
    <s v="Revisão de Vcontrol, alinhamento com Fabio sobre consultores BPO"/>
    <n v="99.83"/>
    <x v="1"/>
    <n v="220.01101928374655"/>
    <s v="Vockan Consulting Ltda"/>
    <x v="2"/>
  </r>
  <r>
    <x v="5"/>
    <d v="2025-04-14T00:00:00"/>
    <d v="2025-04-22T00:00:00"/>
    <s v="CO01"/>
    <n v="2025"/>
    <n v="4"/>
    <n v="14"/>
    <n v="16"/>
    <n v="4"/>
    <x v="0"/>
    <x v="0"/>
    <s v="Project Manager"/>
    <s v="Reunião com Fabio, discovery nexteer para BPO, alinhamento de propostas"/>
    <n v="99.83"/>
    <x v="1"/>
    <n v="440.0220385674931"/>
    <s v="Vockan Consulting Ltda"/>
    <x v="2"/>
  </r>
  <r>
    <x v="5"/>
    <d v="2025-04-15T00:00:00"/>
    <d v="2025-04-22T00:00:00"/>
    <s v="CO01"/>
    <n v="2025"/>
    <n v="4"/>
    <n v="15"/>
    <n v="16"/>
    <n v="3"/>
    <x v="0"/>
    <x v="0"/>
    <s v="Project Manager"/>
    <s v="Preparação All hands e reunião gerencial, reunião com Fabio, alinhamento limpeza de dados Lifetech"/>
    <n v="99.83"/>
    <x v="1"/>
    <n v="330.01652892561981"/>
    <s v="Vockan Consulting Ltda"/>
    <x v="2"/>
  </r>
  <r>
    <x v="5"/>
    <d v="2025-04-16T00:00:00"/>
    <d v="2025-04-22T00:00:00"/>
    <s v="CO01"/>
    <n v="2025"/>
    <n v="4"/>
    <n v="16"/>
    <n v="16"/>
    <n v="4"/>
    <x v="0"/>
    <x v="0"/>
    <s v="Project Manager"/>
    <s v="Acompanhamento Bitrix com Alan e André, Alinhamento de plano Lifetech com Pedro, Reunião com Ana Bispo sobre Amvac, reunião com Zeissm entrega de POC"/>
    <n v="99.83"/>
    <x v="1"/>
    <n v="440.0220385674931"/>
    <s v="Vockan Consulting Ltda"/>
    <x v="2"/>
  </r>
  <r>
    <x v="5"/>
    <d v="2025-04-17T00:00:00"/>
    <d v="2025-04-22T00:00:00"/>
    <s v="CO01"/>
    <n v="2025"/>
    <n v="4"/>
    <n v="17"/>
    <n v="16"/>
    <n v="4"/>
    <x v="0"/>
    <x v="0"/>
    <s v="Project Manager"/>
    <s v="1:1 Andre, planejamento Lifetec, CX Bpo Agilista"/>
    <n v="99.83"/>
    <x v="1"/>
    <n v="440.0220385674931"/>
    <s v="Vockan Consulting Ltda"/>
    <x v="2"/>
  </r>
  <r>
    <x v="6"/>
    <d v="2025-04-01T00:00:00"/>
    <d v="2025-04-07T00:00:00"/>
    <s v="NB01"/>
    <n v="2025"/>
    <n v="4"/>
    <n v="1"/>
    <n v="14"/>
    <n v="5"/>
    <x v="0"/>
    <x v="0"/>
    <s v="Program Manager"/>
    <s v="Tratamento de chamados AutoKiniton, alinhamento com Fábio sobre melhorias no Jira, documento com fluxo de BPO"/>
    <n v="99.83"/>
    <x v="1"/>
    <n v="550.02754820936639"/>
    <s v="Vockan Consulting Ltda"/>
    <x v="2"/>
  </r>
  <r>
    <x v="6"/>
    <d v="2025-04-02T00:00:00"/>
    <d v="2025-04-07T00:00:00"/>
    <s v="NB01"/>
    <n v="2025"/>
    <n v="4"/>
    <n v="2"/>
    <n v="14"/>
    <n v="4"/>
    <x v="0"/>
    <x v="0"/>
    <s v="Program Manager"/>
    <s v="1:1 Andre, planejamento sprint, alinhamento Lifetec"/>
    <n v="99.83"/>
    <x v="1"/>
    <n v="440.0220385674931"/>
    <s v="Vockan Consulting Ltda"/>
    <x v="2"/>
  </r>
  <r>
    <x v="6"/>
    <d v="2025-04-03T00:00:00"/>
    <d v="2025-04-07T00:00:00"/>
    <s v="NB01"/>
    <n v="2025"/>
    <n v="4"/>
    <n v="3"/>
    <n v="14"/>
    <n v="2"/>
    <x v="0"/>
    <x v="0"/>
    <s v="Program Manager"/>
    <s v="Alinhamento Android, scrum"/>
    <n v="99.83"/>
    <x v="1"/>
    <n v="220.01101928374655"/>
    <s v="Vockan Consulting Ltda"/>
    <x v="2"/>
  </r>
  <r>
    <x v="6"/>
    <d v="2025-04-04T00:00:00"/>
    <d v="2025-04-07T00:00:00"/>
    <s v="NB01"/>
    <n v="2025"/>
    <n v="4"/>
    <n v="4"/>
    <n v="14"/>
    <n v="2"/>
    <x v="0"/>
    <x v="0"/>
    <s v="Program Manager"/>
    <s v="Scrum, tratamento de demandas para subida de produção na segunda feira para Aptiv"/>
    <n v="99.83"/>
    <x v="1"/>
    <n v="220.01101928374655"/>
    <s v="Vockan Consulting Ltda"/>
    <x v="2"/>
  </r>
  <r>
    <x v="6"/>
    <d v="2025-04-07T00:00:00"/>
    <d v="2025-04-14T00:00:00"/>
    <s v="NB01"/>
    <n v="2025"/>
    <n v="4"/>
    <n v="7"/>
    <n v="15"/>
    <n v="2"/>
    <x v="0"/>
    <x v="0"/>
    <s v="Program Manager"/>
    <s v="Scrum, reunião com Marcia sobre questões Aptiv, alinhamento com Hilmar"/>
    <n v="99.83"/>
    <x v="1"/>
    <n v="220.01101928374655"/>
    <s v="Vockan Consulting Ltda"/>
    <x v="2"/>
  </r>
  <r>
    <x v="6"/>
    <d v="2025-04-09T00:00:00"/>
    <d v="2025-04-14T00:00:00"/>
    <s v="NB01"/>
    <n v="2025"/>
    <n v="4"/>
    <n v="9"/>
    <n v="15"/>
    <n v="3"/>
    <x v="0"/>
    <x v="0"/>
    <s v="Program Manager"/>
    <s v="1:1 André, Alinhamento com Hilmar, Alinhamento com Alan"/>
    <n v="99.83"/>
    <x v="1"/>
    <n v="330.01652892561981"/>
    <s v="Vockan Consulting Ltda"/>
    <x v="2"/>
  </r>
  <r>
    <x v="6"/>
    <d v="2025-04-10T00:00:00"/>
    <d v="2025-04-14T00:00:00"/>
    <s v="NB01"/>
    <n v="2025"/>
    <n v="4"/>
    <n v="10"/>
    <n v="15"/>
    <n v="2"/>
    <x v="0"/>
    <x v="0"/>
    <s v="Program Manager"/>
    <s v="Scrum, alinhamento tec com Parpinelli"/>
    <n v="99.83"/>
    <x v="1"/>
    <n v="220.01101928374655"/>
    <s v="Vockan Consulting Ltda"/>
    <x v="2"/>
  </r>
  <r>
    <x v="6"/>
    <d v="2025-04-11T00:00:00"/>
    <d v="2025-04-14T00:00:00"/>
    <s v="NB01"/>
    <n v="2025"/>
    <n v="4"/>
    <n v="11"/>
    <n v="15"/>
    <n v="6"/>
    <x v="0"/>
    <x v="0"/>
    <s v="Program Manager"/>
    <s v="Revisão de projetos - estimativas com time dev para conversões, reunião sobre plano Lifetech, scrum"/>
    <n v="99.83"/>
    <x v="1"/>
    <n v="660.03305785123962"/>
    <s v="Vockan Consulting Ltda"/>
    <x v="2"/>
  </r>
  <r>
    <x v="6"/>
    <d v="2025-04-14T00:00:00"/>
    <d v="2025-04-22T00:00:00"/>
    <s v="NB01"/>
    <n v="2025"/>
    <n v="4"/>
    <n v="14"/>
    <n v="16"/>
    <n v="2"/>
    <x v="0"/>
    <x v="0"/>
    <s v="Program Manager"/>
    <s v="Scrum, reunião com Hilmar"/>
    <n v="99.83"/>
    <x v="1"/>
    <n v="220.01101928374655"/>
    <s v="Vockan Consulting Ltda"/>
    <x v="2"/>
  </r>
  <r>
    <x v="6"/>
    <d v="2025-04-15T00:00:00"/>
    <d v="2025-04-22T00:00:00"/>
    <s v="NB01"/>
    <n v="2025"/>
    <n v="4"/>
    <n v="15"/>
    <n v="16"/>
    <n v="3"/>
    <x v="0"/>
    <x v="0"/>
    <s v="Program Manager"/>
    <s v="Scrum, all hands, reunião gerencial"/>
    <n v="99.83"/>
    <x v="1"/>
    <n v="330.01652892561981"/>
    <s v="Vockan Consulting Ltda"/>
    <x v="2"/>
  </r>
  <r>
    <x v="6"/>
    <d v="2025-04-16T00:00:00"/>
    <d v="2025-04-22T00:00:00"/>
    <s v="NB01"/>
    <n v="2025"/>
    <n v="4"/>
    <n v="16"/>
    <n v="16"/>
    <n v="4"/>
    <x v="0"/>
    <x v="0"/>
    <s v="Program Manager"/>
    <s v="Fechamento de Sprint, reunião gerencial"/>
    <n v="99.83"/>
    <x v="1"/>
    <n v="440.0220385674931"/>
    <s v="Vockan Consulting Ltda"/>
    <x v="2"/>
  </r>
  <r>
    <x v="6"/>
    <d v="2025-04-17T00:00:00"/>
    <d v="2025-04-22T00:00:00"/>
    <s v="NB01"/>
    <n v="2025"/>
    <n v="4"/>
    <n v="17"/>
    <n v="16"/>
    <n v="5"/>
    <x v="0"/>
    <x v="0"/>
    <s v="Program Manager"/>
    <s v="Proposta Mauser Dev, All Hands, Alinhamento com equipe DEV"/>
    <n v="99.83"/>
    <x v="1"/>
    <n v="550.02754820936639"/>
    <s v="Vockan Consulting Ltda"/>
    <x v="2"/>
  </r>
  <r>
    <x v="7"/>
    <d v="2025-04-03T00:00:00"/>
    <d v="2025-04-07T00:00:00"/>
    <s v="SOW"/>
    <n v="2025"/>
    <n v="4"/>
    <n v="3"/>
    <n v="14"/>
    <n v="1"/>
    <x v="0"/>
    <x v="0"/>
    <s v="Project Manager"/>
    <s v="Sprint Semanal BPO Op"/>
    <n v="99.83"/>
    <x v="1"/>
    <n v="110.00550964187327"/>
    <s v="Vockan Consulting Ltda"/>
    <x v="2"/>
  </r>
  <r>
    <x v="8"/>
    <d v="2025-04-22T00:00:00"/>
    <d v="2025-04-28T00:00:00"/>
    <s v="SOW"/>
    <n v="2025"/>
    <n v="4"/>
    <n v="22"/>
    <n v="17"/>
    <n v="5"/>
    <x v="0"/>
    <x v="0"/>
    <s v="Project Manager"/>
    <s v="Preparação de material para reunião com funcionais (remuneração 70-30, form de levantamento), 1:1 Fabio"/>
    <n v="99.83"/>
    <x v="1"/>
    <n v="550.02754820936639"/>
    <s v="Vockan Consulting Ltda"/>
    <x v="2"/>
  </r>
  <r>
    <x v="8"/>
    <d v="2025-04-23T00:00:00"/>
    <d v="2025-04-28T00:00:00"/>
    <s v="SOW"/>
    <n v="2025"/>
    <n v="4"/>
    <n v="23"/>
    <n v="17"/>
    <n v="4"/>
    <x v="0"/>
    <x v="0"/>
    <s v="Project Manager"/>
    <s v="Reunião com equipe de funcionais, alinhamento HUF sobre customizados"/>
    <n v="99.83"/>
    <x v="1"/>
    <n v="440.0220385674931"/>
    <s v="Vockan Consulting Ltda"/>
    <x v="2"/>
  </r>
  <r>
    <x v="8"/>
    <d v="2025-04-28T00:00:00"/>
    <d v="2025-05-05T00:00:00"/>
    <s v="SOW"/>
    <n v="2025"/>
    <n v="4"/>
    <n v="28"/>
    <n v="18"/>
    <n v="4"/>
    <x v="0"/>
    <x v="0"/>
    <s v="Project Manager"/>
    <s v="Tratamento QSM autokiniton, reunião semanal com PMO e agilista, alinhamento VBPO 543"/>
    <n v="99.83"/>
    <x v="1"/>
    <n v="440.0220385674931"/>
    <s v="Vockan Consulting Ltda"/>
    <x v="2"/>
  </r>
  <r>
    <x v="8"/>
    <d v="2025-04-29T00:00:00"/>
    <d v="2025-05-05T00:00:00"/>
    <s v="SOW"/>
    <n v="2025"/>
    <n v="4"/>
    <n v="29"/>
    <n v="18"/>
    <n v="3"/>
    <x v="0"/>
    <x v="0"/>
    <s v="Project Manager"/>
    <s v="Alinhamento Roso sobre BPO Clarios, 1:1 Fabio, alinhamento Amvac"/>
    <n v="99.83"/>
    <x v="1"/>
    <n v="330.01652892561981"/>
    <s v="Vockan Consulting Ltda"/>
    <x v="2"/>
  </r>
  <r>
    <x v="8"/>
    <d v="2025-04-30T00:00:00"/>
    <d v="2025-05-05T00:00:00"/>
    <s v="SOW"/>
    <n v="2025"/>
    <n v="4"/>
    <n v="30"/>
    <n v="18"/>
    <n v="2"/>
    <x v="0"/>
    <x v="0"/>
    <s v="Project Manager"/>
    <s v="Alinhamento BPO Vcontrol"/>
    <n v="99.83"/>
    <x v="1"/>
    <n v="220.01101928374655"/>
    <s v="Vockan Consulting Ltda"/>
    <x v="2"/>
  </r>
  <r>
    <x v="9"/>
    <d v="2025-04-23T00:00:00"/>
    <d v="2025-04-28T00:00:00"/>
    <s v="SOW"/>
    <n v="2025"/>
    <n v="4"/>
    <n v="23"/>
    <n v="17"/>
    <n v="2"/>
    <x v="0"/>
    <x v="0"/>
    <s v="Project Manager"/>
    <s v="Acompanhamento de propostas e reunião semanal com André sobre bitrix"/>
    <n v="99.83"/>
    <x v="1"/>
    <n v="220.01101928374655"/>
    <s v="Vockan Consulting Ltda"/>
    <x v="2"/>
  </r>
  <r>
    <x v="9"/>
    <d v="2025-04-25T00:00:00"/>
    <d v="2025-04-28T00:00:00"/>
    <s v="SOW"/>
    <n v="2025"/>
    <n v="4"/>
    <n v="25"/>
    <n v="17"/>
    <n v="2"/>
    <x v="0"/>
    <x v="0"/>
    <s v="Project Manager"/>
    <s v="Alinhamento para renovação BPO Amvac"/>
    <n v="99.83"/>
    <x v="1"/>
    <n v="220.01101928374655"/>
    <s v="Vockan Consulting Ltda"/>
    <x v="2"/>
  </r>
  <r>
    <x v="9"/>
    <d v="2025-04-28T00:00:00"/>
    <d v="2025-05-05T00:00:00"/>
    <s v="SOW"/>
    <n v="2025"/>
    <n v="4"/>
    <n v="28"/>
    <n v="18"/>
    <n v="2"/>
    <x v="0"/>
    <x v="0"/>
    <s v="Project Manager"/>
    <s v="Reunião de renovação Adium"/>
    <n v="99.83"/>
    <x v="1"/>
    <n v="220.01101928374655"/>
    <s v="Vockan Consulting Ltda"/>
    <x v="2"/>
  </r>
  <r>
    <x v="9"/>
    <d v="2025-04-29T00:00:00"/>
    <d v="2025-05-05T00:00:00"/>
    <s v="SOW"/>
    <n v="2025"/>
    <n v="4"/>
    <n v="29"/>
    <n v="18"/>
    <n v="4"/>
    <x v="0"/>
    <x v="0"/>
    <s v="Project Manager"/>
    <s v="Visita Serac, Alinhamento HUF"/>
    <n v="99.83"/>
    <x v="1"/>
    <n v="440.0220385674931"/>
    <s v="Vockan Consulting Ltda"/>
    <x v="2"/>
  </r>
  <r>
    <x v="9"/>
    <d v="2025-04-30T00:00:00"/>
    <d v="2025-05-05T00:00:00"/>
    <s v="SOW"/>
    <n v="2025"/>
    <n v="4"/>
    <n v="30"/>
    <n v="18"/>
    <n v="3"/>
    <x v="0"/>
    <x v="0"/>
    <s v="Project Manager"/>
    <s v="FUP Bitrix, alinhamento plano Lifetec"/>
    <n v="99.83"/>
    <x v="1"/>
    <n v="330.01652892561981"/>
    <s v="Vockan Consulting Ltda"/>
    <x v="2"/>
  </r>
  <r>
    <x v="10"/>
    <d v="2025-04-24T00:00:00"/>
    <d v="2025-04-28T00:00:00"/>
    <s v="SOW"/>
    <n v="2025"/>
    <n v="4"/>
    <n v="24"/>
    <n v="17"/>
    <n v="2"/>
    <x v="0"/>
    <x v="0"/>
    <s v="Program Manager"/>
    <s v="Preparação e apresentação de proposta Mauser"/>
    <n v="99.83"/>
    <x v="1"/>
    <n v="220.01101928374655"/>
    <s v="Vockan Consulting Ltda"/>
    <x v="2"/>
  </r>
  <r>
    <x v="11"/>
    <d v="2025-04-22T00:00:00"/>
    <d v="2025-04-28T00:00:00"/>
    <s v="SOW"/>
    <n v="2025"/>
    <n v="4"/>
    <n v="22"/>
    <n v="17"/>
    <n v="2"/>
    <x v="0"/>
    <x v="0"/>
    <s v="Project Manager"/>
    <s v="Reunião com Hilmar sobre estrutura dev, scrum"/>
    <n v="99.83"/>
    <x v="1"/>
    <n v="220.01101928374655"/>
    <s v="Vockan Consulting Ltda"/>
    <x v="2"/>
  </r>
  <r>
    <x v="11"/>
    <d v="2025-04-23T00:00:00"/>
    <d v="2025-04-28T00:00:00"/>
    <s v="SOW"/>
    <n v="2025"/>
    <n v="4"/>
    <n v="23"/>
    <n v="17"/>
    <n v="1"/>
    <x v="0"/>
    <x v="0"/>
    <s v="Project Manager"/>
    <s v="Scrum, 1:1 André"/>
    <n v="99.83"/>
    <x v="1"/>
    <n v="110.00550964187327"/>
    <s v="Vockan Consulting Ltda"/>
    <x v="2"/>
  </r>
  <r>
    <x v="11"/>
    <d v="2025-04-24T00:00:00"/>
    <d v="2025-04-28T00:00:00"/>
    <s v="SOW"/>
    <n v="2025"/>
    <n v="4"/>
    <n v="24"/>
    <n v="17"/>
    <n v="5"/>
    <x v="0"/>
    <x v="0"/>
    <s v="Project Manager"/>
    <s v="Planejamento de Sprint, projeto de controle de produtividade com Giovana, definição de estrutura Solides DEV"/>
    <n v="99.83"/>
    <x v="1"/>
    <n v="550.02754820936639"/>
    <s v="Vockan Consulting Ltda"/>
    <x v="2"/>
  </r>
  <r>
    <x v="11"/>
    <d v="2025-04-25T00:00:00"/>
    <d v="2025-04-28T00:00:00"/>
    <s v="SOW"/>
    <n v="2025"/>
    <n v="4"/>
    <n v="25"/>
    <n v="17"/>
    <n v="5"/>
    <x v="0"/>
    <x v="0"/>
    <s v="Project Manager"/>
    <s v="Alinhamento Mueller, scrum, alinhamento DEV com NEO e controle de tratativas AR cego"/>
    <n v="99.83"/>
    <x v="1"/>
    <n v="550.02754820936639"/>
    <s v="Vockan Consulting Ltda"/>
    <x v="2"/>
  </r>
  <r>
    <x v="11"/>
    <d v="2025-04-28T00:00:00"/>
    <d v="2025-05-05T00:00:00"/>
    <s v="SOW"/>
    <n v="2025"/>
    <n v="4"/>
    <n v="28"/>
    <n v="18"/>
    <n v="3"/>
    <x v="0"/>
    <x v="0"/>
    <s v="Project Manager"/>
    <s v="Scrum, alinhamento de projetos com Fabricio"/>
    <n v="99.83"/>
    <x v="1"/>
    <n v="330.01652892561981"/>
    <s v="Vockan Consulting Ltda"/>
    <x v="2"/>
  </r>
  <r>
    <x v="11"/>
    <d v="2025-04-29T00:00:00"/>
    <d v="2025-05-05T00:00:00"/>
    <s v="SOW"/>
    <n v="2025"/>
    <n v="4"/>
    <n v="29"/>
    <n v="18"/>
    <n v="1"/>
    <x v="0"/>
    <x v="0"/>
    <s v="Project Manager"/>
    <s v="Scrum, alinhamento DEV produtividade"/>
    <n v="99.83"/>
    <x v="1"/>
    <n v="110.00550964187327"/>
    <s v="Vockan Consulting Ltda"/>
    <x v="2"/>
  </r>
  <r>
    <x v="11"/>
    <d v="2025-04-30T00:00:00"/>
    <d v="2025-05-05T00:00:00"/>
    <s v="SOW"/>
    <n v="2025"/>
    <n v="4"/>
    <n v="30"/>
    <n v="18"/>
    <n v="2"/>
    <x v="0"/>
    <x v="0"/>
    <s v="Project Manager"/>
    <s v="Scrum, 1:1 Andre"/>
    <n v="99.83"/>
    <x v="1"/>
    <n v="220.01101928374655"/>
    <s v="Vockan Consulting Ltda"/>
    <x v="2"/>
  </r>
  <r>
    <x v="12"/>
    <d v="2025-04-14T00:00:00"/>
    <d v="2025-04-22T00:00:00"/>
    <s v="SOW"/>
    <n v="2025"/>
    <n v="4"/>
    <n v="14"/>
    <n v="16"/>
    <n v="2"/>
    <x v="0"/>
    <x v="0"/>
    <s v="Project Manager"/>
    <s v="Alinhamento com equipe sobre plano de ação e reunião com Leopoldo."/>
    <n v="157"/>
    <x v="0"/>
    <n v="346.00550964187329"/>
    <s v="ZF Passive Safety System Brazil Ltda"/>
    <x v="0"/>
  </r>
  <r>
    <x v="12"/>
    <d v="2025-04-23T00:00:00"/>
    <d v="2025-04-28T00:00:00"/>
    <s v="SOW"/>
    <n v="2025"/>
    <n v="4"/>
    <n v="23"/>
    <n v="17"/>
    <n v="2"/>
    <x v="0"/>
    <x v="0"/>
    <s v="Project Manager"/>
    <s v="Tratamento de planos de demandas adicionais"/>
    <n v="157"/>
    <x v="0"/>
    <n v="346.00550964187329"/>
    <s v="ZF Passive Safety System Brazil Ltda"/>
    <x v="0"/>
  </r>
  <r>
    <x v="12"/>
    <d v="2025-04-25T00:00:00"/>
    <d v="2025-04-28T00:00:00"/>
    <s v="SOW"/>
    <n v="2025"/>
    <n v="4"/>
    <n v="25"/>
    <n v="17"/>
    <n v="1"/>
    <x v="0"/>
    <x v="0"/>
    <s v="Project Manager"/>
    <s v="Levantamento para limpeza de dados"/>
    <n v="157"/>
    <x v="0"/>
    <n v="173.00275482093664"/>
    <s v="ZF Passive Safety System Brazil Ltda"/>
    <x v="0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  <r>
    <x v="13"/>
    <m/>
    <m/>
    <m/>
    <m/>
    <m/>
    <m/>
    <m/>
    <m/>
    <x v="1"/>
    <x v="1"/>
    <m/>
    <m/>
    <m/>
    <x v="2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B7F94-C7E7-499E-982B-21893FA31724}" name="Tabela dinâmica1" cacheId="19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G21" firstHeaderRow="0" firstDataRow="1" firstDataCol="5"/>
  <pivotFields count="18">
    <pivotField axis="axisRow" outline="0" showAll="0" defaultSubtotal="0">
      <items count="75">
        <item m="1" x="40"/>
        <item m="1" x="25"/>
        <item m="1" x="20"/>
        <item m="1" x="36"/>
        <item m="1" x="37"/>
        <item m="1" x="34"/>
        <item m="1" x="43"/>
        <item m="1" x="23"/>
        <item m="1" x="29"/>
        <item m="1" x="17"/>
        <item x="12"/>
        <item m="1" x="18"/>
        <item m="1" x="44"/>
        <item m="1" x="24"/>
        <item m="1" x="35"/>
        <item m="1" x="32"/>
        <item m="1" x="22"/>
        <item x="2"/>
        <item m="1" x="21"/>
        <item m="1" x="46"/>
        <item m="1" x="26"/>
        <item m="1" x="45"/>
        <item m="1" x="14"/>
        <item m="1" x="16"/>
        <item m="1" x="30"/>
        <item m="1" x="31"/>
        <item m="1" x="38"/>
        <item x="3"/>
        <item x="0"/>
        <item m="1" x="27"/>
        <item m="1" x="41"/>
        <item m="1" x="28"/>
        <item m="1" x="39"/>
        <item x="1"/>
        <item m="1" x="33"/>
        <item m="1" x="15"/>
        <item x="4"/>
        <item x="5"/>
        <item x="6"/>
        <item m="1" x="47"/>
        <item m="1" x="48"/>
        <item m="1" x="49"/>
        <item m="1" x="50"/>
        <item x="7"/>
        <item m="1" x="51"/>
        <item m="1" x="52"/>
        <item m="1" x="53"/>
        <item m="1" x="54"/>
        <item x="8"/>
        <item m="1" x="55"/>
        <item x="9"/>
        <item x="10"/>
        <item m="1" x="56"/>
        <item m="1" x="57"/>
        <item m="1" x="58"/>
        <item m="1" x="59"/>
        <item m="1" x="60"/>
        <item m="1" x="61"/>
        <item m="1" x="62"/>
        <item m="1" x="63"/>
        <item x="11"/>
        <item m="1" x="64"/>
        <item m="1" x="65"/>
        <item m="1" x="66"/>
        <item m="1" x="67"/>
        <item m="1" x="68"/>
        <item m="1" x="69"/>
        <item m="1" x="70"/>
        <item m="1" x="19"/>
        <item m="1" x="71"/>
        <item m="1" x="72"/>
        <item m="1" x="73"/>
        <item m="1" x="74"/>
        <item m="1" x="42"/>
        <item x="13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outline="0" showAll="0">
      <items count="31">
        <item m="1" x="10"/>
        <item m="1" x="20"/>
        <item m="1" x="15"/>
        <item m="1" x="19"/>
        <item m="1" x="5"/>
        <item m="1" x="12"/>
        <item m="1" x="11"/>
        <item m="1" x="9"/>
        <item m="1" x="2"/>
        <item m="1" x="13"/>
        <item m="1" x="27"/>
        <item m="1" x="22"/>
        <item m="1" x="28"/>
        <item m="1" x="23"/>
        <item m="1" x="25"/>
        <item m="1" x="17"/>
        <item m="1" x="18"/>
        <item m="1" x="26"/>
        <item m="1" x="16"/>
        <item m="1" x="8"/>
        <item m="1" x="21"/>
        <item m="1" x="4"/>
        <item m="1" x="7"/>
        <item m="1" x="29"/>
        <item x="0"/>
        <item m="1" x="3"/>
        <item h="1" m="1" x="24"/>
        <item m="1" x="14"/>
        <item m="1" x="6"/>
        <item h="1" x="1"/>
        <item t="default"/>
      </items>
    </pivotField>
    <pivotField axis="axisRow" outline="0" showAll="0" defaultSubtotal="0">
      <items count="46">
        <item m="1" x="13"/>
        <item m="1" x="2"/>
        <item m="1" x="12"/>
        <item m="1" x="21"/>
        <item m="1" x="27"/>
        <item m="1" x="31"/>
        <item m="1" x="41"/>
        <item m="1" x="7"/>
        <item m="1" x="5"/>
        <item m="1" x="22"/>
        <item m="1" x="24"/>
        <item m="1" x="15"/>
        <item m="1" x="4"/>
        <item m="1" x="34"/>
        <item m="1" x="8"/>
        <item m="1" x="20"/>
        <item m="1" x="42"/>
        <item m="1" x="6"/>
        <item m="1" x="35"/>
        <item m="1" x="32"/>
        <item m="1" x="29"/>
        <item m="1" x="37"/>
        <item m="1" x="25"/>
        <item m="1" x="14"/>
        <item m="1" x="17"/>
        <item m="1" x="40"/>
        <item m="1" x="23"/>
        <item m="1" x="44"/>
        <item m="1" x="26"/>
        <item m="1" x="18"/>
        <item m="1" x="45"/>
        <item m="1" x="11"/>
        <item x="0"/>
        <item m="1" x="33"/>
        <item m="1" x="28"/>
        <item m="1" x="3"/>
        <item m="1" x="16"/>
        <item m="1" x="43"/>
        <item m="1" x="30"/>
        <item m="1" x="39"/>
        <item m="1" x="10"/>
        <item m="1" x="38"/>
        <item m="1" x="36"/>
        <item m="1" x="9"/>
        <item m="1" x="19"/>
        <item x="1"/>
      </items>
    </pivotField>
    <pivotField showAll="0"/>
    <pivotField showAll="0"/>
    <pivotField showAll="0"/>
    <pivotField axis="axisRow" outline="0" showAll="0" defaultSubtotal="0">
      <items count="46">
        <item m="1" x="36"/>
        <item m="1" x="35"/>
        <item m="1" x="17"/>
        <item m="1" x="9"/>
        <item m="1" x="42"/>
        <item m="1" x="33"/>
        <item m="1" x="34"/>
        <item m="1" x="4"/>
        <item m="1" x="25"/>
        <item m="1" x="31"/>
        <item m="1" x="18"/>
        <item m="1" x="30"/>
        <item m="1" x="44"/>
        <item m="1" x="32"/>
        <item x="1"/>
        <item m="1" x="10"/>
        <item m="1" x="39"/>
        <item m="1" x="6"/>
        <item m="1" x="24"/>
        <item m="1" x="14"/>
        <item m="1" x="45"/>
        <item m="1" x="11"/>
        <item m="1" x="16"/>
        <item m="1" x="28"/>
        <item m="1" x="5"/>
        <item m="1" x="23"/>
        <item m="1" x="26"/>
        <item m="1" x="38"/>
        <item m="1" x="40"/>
        <item m="1" x="20"/>
        <item m="1" x="15"/>
        <item m="1" x="19"/>
        <item x="0"/>
        <item m="1" x="21"/>
        <item m="1" x="3"/>
        <item m="1" x="8"/>
        <item m="1" x="27"/>
        <item m="1" x="43"/>
        <item m="1" x="41"/>
        <item m="1" x="12"/>
        <item m="1" x="22"/>
        <item m="1" x="13"/>
        <item m="1" x="37"/>
        <item m="1" x="7"/>
        <item m="1" x="29"/>
        <item x="2"/>
      </items>
    </pivotField>
    <pivotField dataField="1" showAll="0"/>
    <pivotField showAll="0"/>
    <pivotField axis="axisRow" outline="0" showAll="0">
      <items count="5">
        <item x="0"/>
        <item x="1"/>
        <item x="2"/>
        <item x="3"/>
        <item t="default"/>
      </items>
    </pivotField>
  </pivotFields>
  <rowFields count="5">
    <field x="9"/>
    <field x="17"/>
    <field x="10"/>
    <field x="0"/>
    <field x="14"/>
  </rowFields>
  <rowItems count="18">
    <i>
      <x v="24"/>
      <x/>
      <x v="32"/>
      <x v="10"/>
      <x v="32"/>
    </i>
    <i r="3">
      <x v="17"/>
      <x v="32"/>
    </i>
    <i r="3">
      <x v="27"/>
      <x v="32"/>
    </i>
    <i r="3">
      <x v="28"/>
      <x v="32"/>
    </i>
    <i t="default" r="1">
      <x/>
    </i>
    <i r="1">
      <x v="1"/>
      <x v="32"/>
      <x v="33"/>
      <x v="32"/>
    </i>
    <i t="default" r="1">
      <x v="1"/>
    </i>
    <i r="1">
      <x v="2"/>
      <x v="32"/>
      <x v="36"/>
      <x v="14"/>
    </i>
    <i r="3">
      <x v="37"/>
      <x v="14"/>
    </i>
    <i r="3">
      <x v="38"/>
      <x v="14"/>
    </i>
    <i r="3">
      <x v="43"/>
      <x v="14"/>
    </i>
    <i r="3">
      <x v="48"/>
      <x v="14"/>
    </i>
    <i r="3">
      <x v="50"/>
      <x v="14"/>
    </i>
    <i r="3">
      <x v="51"/>
      <x v="14"/>
    </i>
    <i r="3">
      <x v="60"/>
      <x v="14"/>
    </i>
    <i t="default" r="1">
      <x v="2"/>
    </i>
    <i t="default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ime Actual" fld="8" baseField="14" baseItem="10" numFmtId="164"/>
    <dataField name="Soma de Total Cost" fld="15" baseField="14" baseItem="10" numFmtId="165"/>
  </dataFields>
  <formats count="3">
    <format dxfId="3">
      <pivotArea dataOnly="0" outline="0" fieldPosition="0">
        <references count="1">
          <reference field="9" count="0" defaultSubtotal="1"/>
        </references>
      </pivotArea>
    </format>
    <format dxfId="4">
      <pivotArea dataOnly="0" outline="0" fieldPosition="0">
        <references count="1">
          <reference field="17" count="0" defaultSubtotal="1"/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13DF41D-F9CF-4B66-9BF9-F56D763C91C3}" autoFormatId="16" applyNumberFormats="0" applyBorderFormats="0" applyFontFormats="0" applyPatternFormats="0" applyAlignmentFormats="0" applyWidthHeightFormats="0">
  <queryTableRefresh nextId="25">
    <queryTableFields count="18">
      <queryTableField id="1" name="FunnelID" tableColumnId="1"/>
      <queryTableField id="2" name="Work Date" tableColumnId="2"/>
      <queryTableField id="3" name="Date TimeSheet" tableColumnId="3"/>
      <queryTableField id="4" name="CCID" tableColumnId="4"/>
      <queryTableField id="5" name="Year" tableColumnId="5"/>
      <queryTableField id="6" name="Month" tableColumnId="6"/>
      <queryTableField id="7" name="Day" tableColumnId="7"/>
      <queryTableField id="8" name="Week" tableColumnId="8"/>
      <queryTableField id="9" name="Time Actual" tableColumnId="9"/>
      <queryTableField id="10" name="Company" tableColumnId="10"/>
      <queryTableField id="11" name="Resource Name" tableColumnId="11"/>
      <queryTableField id="12" name="Role" tableColumnId="12"/>
      <queryTableField id="13" name="Comments" tableColumnId="13"/>
      <queryTableField id="14" name="CostRate" tableColumnId="14"/>
      <queryTableField id="21" dataBound="0" tableColumnId="21"/>
      <queryTableField id="22" dataBound="0" tableColumnId="22"/>
      <queryTableField id="16" name="Customer Name" tableColumnId="16"/>
      <queryTableField id="17" name="Invoiced Date" tableColumnId="17"/>
    </queryTableFields>
    <queryTableDeletedFields count="2">
      <deletedField name="Invoice Number"/>
      <deletedField name="Billing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A6117-E85A-43FC-B612-48F883DF7C92}" name="ApprovedTimeReport_000_202549" displayName="ApprovedTimeReport_000_202549" ref="A1:R59" tableType="queryTable" totalsRowCount="1">
  <autoFilter ref="A1:R58" xr:uid="{358A6117-E85A-43FC-B612-48F883DF7C92}"/>
  <sortState xmlns:xlrd2="http://schemas.microsoft.com/office/spreadsheetml/2017/richdata2" ref="A2:R58">
    <sortCondition ref="Q2:Q58"/>
    <sortCondition ref="A2:A58"/>
    <sortCondition ref="B2:B58"/>
    <sortCondition ref="K2:K58"/>
  </sortState>
  <tableColumns count="18">
    <tableColumn id="1" xr3:uid="{FCF88523-C230-43CC-A6D4-E589F43FAF62}" uniqueName="1" name="FunnelID" queryTableFieldId="1" dataDxfId="25" totalsRowDxfId="24"/>
    <tableColumn id="2" xr3:uid="{5216BBFC-DABA-49BF-8A7A-A2E525B967CB}" uniqueName="2" name="Work Date" queryTableFieldId="2" dataDxfId="23" totalsRowDxfId="22"/>
    <tableColumn id="3" xr3:uid="{9074D55F-482E-4174-9F9C-EBF09C79559F}" uniqueName="3" name="Date TimeSheet" queryTableFieldId="3" dataDxfId="21" totalsRowDxfId="20"/>
    <tableColumn id="4" xr3:uid="{AECF54F0-A206-483F-948F-654E809F73EC}" uniqueName="4" name="CCID" queryTableFieldId="4" dataDxfId="19" totalsRowDxfId="18"/>
    <tableColumn id="5" xr3:uid="{F0C5D558-EB0C-4530-9D63-C36CB0DD79D4}" uniqueName="5" name="Year" queryTableFieldId="5"/>
    <tableColumn id="6" xr3:uid="{DEDA2316-C59C-43D2-8EE0-DF656ECD2AC1}" uniqueName="6" name="Month" queryTableFieldId="6"/>
    <tableColumn id="7" xr3:uid="{DDBCAC71-6C2F-44D6-8D64-BD8C588DDE61}" uniqueName="7" name="Day" queryTableFieldId="7"/>
    <tableColumn id="8" xr3:uid="{C48342C5-A765-41A2-BE60-A737D8FE8110}" uniqueName="8" name="Week" queryTableFieldId="8"/>
    <tableColumn id="9" xr3:uid="{E80B2778-4849-4A23-911D-CF53BBC7673D}" uniqueName="9" name="Time Actual" queryTableFieldId="9"/>
    <tableColumn id="10" xr3:uid="{D1DD471B-43D0-4EF1-9560-4F02D64E677F}" uniqueName="10" name="Company" queryTableFieldId="10" dataDxfId="17" totalsRowDxfId="16"/>
    <tableColumn id="11" xr3:uid="{7C5449A9-558D-4330-B68C-28736C45C754}" uniqueName="11" name="Resource Name" queryTableFieldId="11" dataDxfId="15" totalsRowDxfId="14"/>
    <tableColumn id="12" xr3:uid="{54BA891D-96E0-4770-8FD3-D4CCA05B4690}" uniqueName="12" name="Role" queryTableFieldId="12" dataDxfId="13" totalsRowDxfId="12"/>
    <tableColumn id="13" xr3:uid="{1629838B-B43D-418F-9D04-F1882071F10A}" uniqueName="13" name="Comments" queryTableFieldId="13" dataDxfId="11" totalsRowDxfId="10"/>
    <tableColumn id="14" xr3:uid="{70DE5AC0-065C-4577-BE54-C4E97397247B}" uniqueName="14" name="CostRate" queryTableFieldId="14" dataCellStyle="Vírgula"/>
    <tableColumn id="21" xr3:uid="{87B58BF6-0DE6-40ED-BEE8-EEDD1F884DA6}" uniqueName="21" name="CostRate w/ Taxes" queryTableFieldId="21" dataCellStyle="Vírgula">
      <calculatedColumnFormula>ApprovedTimeReport_000_202549[[#This Row],[CostRate]]/0.9075</calculatedColumnFormula>
    </tableColumn>
    <tableColumn id="22" xr3:uid="{72B04DC8-B22A-4853-B43B-825C6D49BD50}" uniqueName="22" name="Total Cost" queryTableFieldId="22" dataCellStyle="Vírgula">
      <calculatedColumnFormula>ApprovedTimeReport_000_202549[[#This Row],[CostRate w/ Taxes]]*ApprovedTimeReport_000_202549[[#This Row],[Time Actual]]</calculatedColumnFormula>
    </tableColumn>
    <tableColumn id="16" xr3:uid="{C2F22249-8D98-4A2B-BE9C-195E018E7AB8}" uniqueName="16" name="Customer Name" queryTableFieldId="16" dataDxfId="9" totalsRowDxfId="8"/>
    <tableColumn id="17" xr3:uid="{9EFE67C7-82BC-47DE-B8C7-4190EF81F280}" uniqueName="17" name="Project Type" queryTableFieldId="17" dataDxfId="7" totalsRow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EA81-5B98-459A-8B99-F8CA327877F7}">
  <dimension ref="A3:H332"/>
  <sheetViews>
    <sheetView tabSelected="1" workbookViewId="0">
      <selection activeCell="G19" sqref="G19:H19"/>
    </sheetView>
  </sheetViews>
  <sheetFormatPr defaultRowHeight="14.4" x14ac:dyDescent="0.3"/>
  <cols>
    <col min="1" max="1" width="17.88671875" bestFit="1" customWidth="1"/>
    <col min="2" max="2" width="14" bestFit="1" customWidth="1"/>
    <col min="3" max="3" width="17.21875" bestFit="1" customWidth="1"/>
    <col min="4" max="4" width="24.77734375" bestFit="1" customWidth="1"/>
    <col min="5" max="5" width="19.5546875" style="4" bestFit="1" customWidth="1"/>
    <col min="6" max="6" width="19.33203125" bestFit="1" customWidth="1"/>
    <col min="7" max="7" width="18" bestFit="1" customWidth="1"/>
  </cols>
  <sheetData>
    <row r="3" spans="1:8" x14ac:dyDescent="0.3">
      <c r="A3" s="7" t="s">
        <v>250</v>
      </c>
      <c r="B3" s="7" t="s">
        <v>154</v>
      </c>
      <c r="C3" s="7" t="s">
        <v>17</v>
      </c>
      <c r="D3" s="7" t="s">
        <v>0</v>
      </c>
      <c r="E3" s="7" t="s">
        <v>152</v>
      </c>
      <c r="F3" t="s">
        <v>252</v>
      </c>
      <c r="G3" t="s">
        <v>253</v>
      </c>
    </row>
    <row r="4" spans="1:8" x14ac:dyDescent="0.3">
      <c r="A4" t="s">
        <v>27</v>
      </c>
      <c r="B4" t="s">
        <v>156</v>
      </c>
      <c r="C4" t="s">
        <v>28</v>
      </c>
      <c r="D4" t="s">
        <v>47</v>
      </c>
      <c r="E4">
        <v>173.00275482093664</v>
      </c>
      <c r="F4" s="8">
        <v>5</v>
      </c>
      <c r="G4" s="13">
        <v>865.01377410468319</v>
      </c>
    </row>
    <row r="5" spans="1:8" x14ac:dyDescent="0.3">
      <c r="D5" t="s">
        <v>71</v>
      </c>
      <c r="E5">
        <v>173.00275482093664</v>
      </c>
      <c r="F5" s="8">
        <v>1</v>
      </c>
      <c r="G5" s="13">
        <v>173.00275482093664</v>
      </c>
    </row>
    <row r="6" spans="1:8" x14ac:dyDescent="0.3">
      <c r="D6" t="s">
        <v>49</v>
      </c>
      <c r="E6">
        <v>173.00275482093664</v>
      </c>
      <c r="F6" s="8">
        <v>5</v>
      </c>
      <c r="G6" s="13">
        <v>865.01377410468319</v>
      </c>
    </row>
    <row r="7" spans="1:8" x14ac:dyDescent="0.3">
      <c r="D7" t="s">
        <v>50</v>
      </c>
      <c r="E7">
        <v>173.00275482093664</v>
      </c>
      <c r="F7" s="8">
        <v>6</v>
      </c>
      <c r="G7" s="13">
        <v>1038.0165289256199</v>
      </c>
    </row>
    <row r="8" spans="1:8" x14ac:dyDescent="0.3">
      <c r="B8" s="11" t="s">
        <v>255</v>
      </c>
      <c r="C8" s="11"/>
      <c r="D8" s="11"/>
      <c r="E8" s="11"/>
      <c r="F8" s="12">
        <v>17</v>
      </c>
      <c r="G8" s="14">
        <v>2941.0468319559232</v>
      </c>
      <c r="H8" t="s">
        <v>258</v>
      </c>
    </row>
    <row r="9" spans="1:8" x14ac:dyDescent="0.3">
      <c r="B9" t="s">
        <v>165</v>
      </c>
      <c r="C9" t="s">
        <v>28</v>
      </c>
      <c r="D9" t="s">
        <v>33</v>
      </c>
      <c r="E9">
        <v>173.00275482093664</v>
      </c>
      <c r="F9" s="8">
        <v>1</v>
      </c>
      <c r="G9" s="13">
        <v>173.00275482093664</v>
      </c>
    </row>
    <row r="10" spans="1:8" x14ac:dyDescent="0.3">
      <c r="B10" s="11" t="s">
        <v>257</v>
      </c>
      <c r="C10" s="11"/>
      <c r="D10" s="11"/>
      <c r="E10" s="11"/>
      <c r="F10" s="12">
        <v>1</v>
      </c>
      <c r="G10" s="14">
        <v>173.00275482093664</v>
      </c>
      <c r="H10" t="s">
        <v>259</v>
      </c>
    </row>
    <row r="11" spans="1:8" x14ac:dyDescent="0.3">
      <c r="B11" t="s">
        <v>161</v>
      </c>
      <c r="C11" t="s">
        <v>28</v>
      </c>
      <c r="D11" t="s">
        <v>22</v>
      </c>
      <c r="E11">
        <v>110.00550964187327</v>
      </c>
      <c r="F11" s="8">
        <v>4</v>
      </c>
      <c r="G11" s="13">
        <v>440.0220385674931</v>
      </c>
    </row>
    <row r="12" spans="1:8" x14ac:dyDescent="0.3">
      <c r="D12" t="s">
        <v>110</v>
      </c>
      <c r="E12">
        <v>110.00550964187327</v>
      </c>
      <c r="F12" s="8">
        <v>51</v>
      </c>
      <c r="G12" s="13">
        <v>5610.2809917355362</v>
      </c>
    </row>
    <row r="13" spans="1:8" x14ac:dyDescent="0.3">
      <c r="D13" t="s">
        <v>90</v>
      </c>
      <c r="E13">
        <v>110.00550964187327</v>
      </c>
      <c r="F13" s="8">
        <v>40</v>
      </c>
      <c r="G13" s="13">
        <v>4400.2203856749302</v>
      </c>
    </row>
    <row r="14" spans="1:8" x14ac:dyDescent="0.3">
      <c r="D14" t="s">
        <v>112</v>
      </c>
      <c r="E14">
        <v>110.00550964187327</v>
      </c>
      <c r="F14" s="8">
        <v>1</v>
      </c>
      <c r="G14" s="13">
        <v>110.00550964187327</v>
      </c>
    </row>
    <row r="15" spans="1:8" x14ac:dyDescent="0.3">
      <c r="D15" t="s">
        <v>26</v>
      </c>
      <c r="E15">
        <v>110.00550964187327</v>
      </c>
      <c r="F15" s="8">
        <v>18</v>
      </c>
      <c r="G15" s="13">
        <v>1980.0991735537191</v>
      </c>
    </row>
    <row r="16" spans="1:8" x14ac:dyDescent="0.3">
      <c r="D16" t="s">
        <v>31</v>
      </c>
      <c r="E16">
        <v>110.00550964187327</v>
      </c>
      <c r="F16" s="8">
        <v>13</v>
      </c>
      <c r="G16" s="13">
        <v>1430.0716253443525</v>
      </c>
    </row>
    <row r="17" spans="1:8" x14ac:dyDescent="0.3">
      <c r="D17" t="s">
        <v>38</v>
      </c>
      <c r="E17">
        <v>110.00550964187327</v>
      </c>
      <c r="F17" s="8">
        <v>2</v>
      </c>
      <c r="G17" s="13">
        <v>220.01101928374655</v>
      </c>
    </row>
    <row r="18" spans="1:8" x14ac:dyDescent="0.3">
      <c r="D18" t="s">
        <v>42</v>
      </c>
      <c r="E18">
        <v>110.00550964187327</v>
      </c>
      <c r="F18" s="8">
        <v>19</v>
      </c>
      <c r="G18" s="13">
        <v>2090.1046831955919</v>
      </c>
    </row>
    <row r="19" spans="1:8" x14ac:dyDescent="0.3">
      <c r="B19" s="11" t="s">
        <v>256</v>
      </c>
      <c r="C19" s="11"/>
      <c r="D19" s="11"/>
      <c r="E19" s="11"/>
      <c r="F19" s="12">
        <v>148</v>
      </c>
      <c r="G19" s="14">
        <v>16280.815426997244</v>
      </c>
      <c r="H19" t="s">
        <v>260</v>
      </c>
    </row>
    <row r="20" spans="1:8" x14ac:dyDescent="0.3">
      <c r="A20" s="9" t="s">
        <v>254</v>
      </c>
      <c r="B20" s="9"/>
      <c r="C20" s="9"/>
      <c r="D20" s="9"/>
      <c r="E20" s="9"/>
      <c r="F20" s="10">
        <v>166</v>
      </c>
      <c r="G20" s="15">
        <v>19394.865013774099</v>
      </c>
    </row>
    <row r="21" spans="1:8" x14ac:dyDescent="0.3">
      <c r="A21" t="s">
        <v>251</v>
      </c>
      <c r="E21"/>
      <c r="F21" s="8">
        <v>166</v>
      </c>
      <c r="G21" s="13">
        <v>19394.865013774099</v>
      </c>
    </row>
    <row r="22" spans="1:8" x14ac:dyDescent="0.3">
      <c r="E22"/>
    </row>
    <row r="23" spans="1:8" x14ac:dyDescent="0.3">
      <c r="E23"/>
    </row>
    <row r="24" spans="1:8" x14ac:dyDescent="0.3">
      <c r="E24"/>
    </row>
    <row r="25" spans="1:8" x14ac:dyDescent="0.3">
      <c r="E25"/>
    </row>
    <row r="26" spans="1:8" x14ac:dyDescent="0.3">
      <c r="E26"/>
    </row>
    <row r="27" spans="1:8" x14ac:dyDescent="0.3">
      <c r="E27"/>
    </row>
    <row r="28" spans="1:8" x14ac:dyDescent="0.3">
      <c r="E28"/>
    </row>
    <row r="29" spans="1:8" x14ac:dyDescent="0.3">
      <c r="E29"/>
    </row>
    <row r="30" spans="1:8" x14ac:dyDescent="0.3">
      <c r="E30"/>
    </row>
    <row r="31" spans="1:8" x14ac:dyDescent="0.3">
      <c r="E31"/>
    </row>
    <row r="32" spans="1:8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</sheetData>
  <pageMargins left="0.511811024" right="0.511811024" top="0.78740157499999996" bottom="0.78740157499999996" header="0.31496062000000002" footer="0.31496062000000002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38EE-4D29-4436-ACAC-A2CB5F033EDE}">
  <dimension ref="A1:R59"/>
  <sheetViews>
    <sheetView zoomScale="80" zoomScaleNormal="80" workbookViewId="0">
      <selection activeCell="A2" sqref="A2:XFD670"/>
    </sheetView>
  </sheetViews>
  <sheetFormatPr defaultRowHeight="14.4" x14ac:dyDescent="0.3"/>
  <cols>
    <col min="1" max="1" width="22" bestFit="1" customWidth="1"/>
    <col min="2" max="2" width="11.77734375" customWidth="1"/>
    <col min="3" max="3" width="16.44140625" customWidth="1"/>
    <col min="4" max="4" width="7.44140625" customWidth="1"/>
    <col min="5" max="5" width="6.88671875" customWidth="1"/>
    <col min="6" max="6" width="8.33203125" customWidth="1"/>
    <col min="7" max="7" width="6.33203125" customWidth="1"/>
    <col min="8" max="8" width="7.88671875" customWidth="1"/>
    <col min="9" max="9" width="13" customWidth="1"/>
    <col min="10" max="10" width="25.6640625" customWidth="1"/>
    <col min="11" max="11" width="19.88671875" bestFit="1" customWidth="1"/>
    <col min="12" max="12" width="15.33203125" bestFit="1" customWidth="1"/>
    <col min="13" max="13" width="80.88671875" bestFit="1" customWidth="1"/>
    <col min="14" max="14" width="10.77734375" bestFit="1" customWidth="1"/>
    <col min="15" max="16" width="10.77734375" customWidth="1"/>
    <col min="17" max="17" width="40.88671875" bestFit="1" customWidth="1"/>
    <col min="18" max="18" width="14.5546875" bestFit="1" customWidth="1"/>
  </cols>
  <sheetData>
    <row r="1" spans="1:18" x14ac:dyDescent="0.3">
      <c r="A1" t="s">
        <v>0</v>
      </c>
      <c r="B1" t="s">
        <v>2</v>
      </c>
      <c r="C1" t="s">
        <v>10</v>
      </c>
      <c r="D1" t="s">
        <v>1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152</v>
      </c>
      <c r="P1" t="s">
        <v>153</v>
      </c>
      <c r="Q1" t="s">
        <v>21</v>
      </c>
      <c r="R1" t="s">
        <v>154</v>
      </c>
    </row>
    <row r="2" spans="1:18" x14ac:dyDescent="0.3">
      <c r="A2" t="s">
        <v>50</v>
      </c>
      <c r="B2" s="1">
        <v>45769</v>
      </c>
      <c r="C2" s="1">
        <v>45775</v>
      </c>
      <c r="D2" t="s">
        <v>4</v>
      </c>
      <c r="E2">
        <v>2025</v>
      </c>
      <c r="F2">
        <v>4</v>
      </c>
      <c r="G2">
        <v>22</v>
      </c>
      <c r="H2">
        <v>17</v>
      </c>
      <c r="I2">
        <v>2</v>
      </c>
      <c r="J2" t="s">
        <v>27</v>
      </c>
      <c r="K2" t="s">
        <v>28</v>
      </c>
      <c r="L2" t="s">
        <v>23</v>
      </c>
      <c r="M2" t="s">
        <v>104</v>
      </c>
      <c r="N2" s="4">
        <v>157</v>
      </c>
      <c r="O2" s="4">
        <f>ApprovedTimeReport_000_202549[[#This Row],[CostRate]]/0.9075</f>
        <v>173.00275482093664</v>
      </c>
      <c r="P2" s="4">
        <f>ApprovedTimeReport_000_202549[[#This Row],[CostRate w/ Taxes]]*ApprovedTimeReport_000_202549[[#This Row],[Time Actual]]</f>
        <v>346.00550964187329</v>
      </c>
      <c r="Q2" t="s">
        <v>52</v>
      </c>
      <c r="R2" s="2" t="str">
        <f>VLOOKUP(A:A,Vlookup!A:B,2,0)</f>
        <v>FF</v>
      </c>
    </row>
    <row r="3" spans="1:18" x14ac:dyDescent="0.3">
      <c r="A3" t="s">
        <v>50</v>
      </c>
      <c r="B3" s="1">
        <v>45770</v>
      </c>
      <c r="C3" s="1">
        <v>45775</v>
      </c>
      <c r="D3" t="s">
        <v>4</v>
      </c>
      <c r="E3">
        <v>2025</v>
      </c>
      <c r="F3">
        <v>4</v>
      </c>
      <c r="G3">
        <v>23</v>
      </c>
      <c r="H3">
        <v>17</v>
      </c>
      <c r="I3">
        <v>1</v>
      </c>
      <c r="J3" t="s">
        <v>27</v>
      </c>
      <c r="K3" t="s">
        <v>28</v>
      </c>
      <c r="L3" t="s">
        <v>23</v>
      </c>
      <c r="M3" t="s">
        <v>103</v>
      </c>
      <c r="N3" s="4">
        <v>157</v>
      </c>
      <c r="O3" s="4">
        <f>ApprovedTimeReport_000_202549[[#This Row],[CostRate]]/0.9075</f>
        <v>173.00275482093664</v>
      </c>
      <c r="P3" s="4">
        <f>ApprovedTimeReport_000_202549[[#This Row],[CostRate w/ Taxes]]*ApprovedTimeReport_000_202549[[#This Row],[Time Actual]]</f>
        <v>173.00275482093664</v>
      </c>
      <c r="Q3" t="s">
        <v>52</v>
      </c>
      <c r="R3" s="2" t="str">
        <f>VLOOKUP(A:A,Vlookup!A:B,2,0)</f>
        <v>FF</v>
      </c>
    </row>
    <row r="4" spans="1:18" x14ac:dyDescent="0.3">
      <c r="A4" t="s">
        <v>50</v>
      </c>
      <c r="B4" s="1">
        <v>45771</v>
      </c>
      <c r="C4" s="1">
        <v>45775</v>
      </c>
      <c r="D4" t="s">
        <v>4</v>
      </c>
      <c r="E4">
        <v>2025</v>
      </c>
      <c r="F4">
        <v>4</v>
      </c>
      <c r="G4">
        <v>24</v>
      </c>
      <c r="H4">
        <v>17</v>
      </c>
      <c r="I4">
        <v>1</v>
      </c>
      <c r="J4" t="s">
        <v>27</v>
      </c>
      <c r="K4" t="s">
        <v>28</v>
      </c>
      <c r="L4" t="s">
        <v>23</v>
      </c>
      <c r="M4" t="s">
        <v>93</v>
      </c>
      <c r="N4" s="4">
        <v>157</v>
      </c>
      <c r="O4" s="4">
        <f>ApprovedTimeReport_000_202549[[#This Row],[CostRate]]/0.9075</f>
        <v>173.00275482093664</v>
      </c>
      <c r="P4" s="4">
        <f>ApprovedTimeReport_000_202549[[#This Row],[CostRate w/ Taxes]]*ApprovedTimeReport_000_202549[[#This Row],[Time Actual]]</f>
        <v>173.00275482093664</v>
      </c>
      <c r="Q4" t="s">
        <v>52</v>
      </c>
      <c r="R4" s="2" t="str">
        <f>VLOOKUP(A:A,Vlookup!A:B,2,0)</f>
        <v>FF</v>
      </c>
    </row>
    <row r="5" spans="1:18" x14ac:dyDescent="0.3">
      <c r="A5" t="s">
        <v>50</v>
      </c>
      <c r="B5" s="1">
        <v>45777</v>
      </c>
      <c r="C5" s="1">
        <v>45782</v>
      </c>
      <c r="D5" t="s">
        <v>4</v>
      </c>
      <c r="E5">
        <v>2025</v>
      </c>
      <c r="F5">
        <v>4</v>
      </c>
      <c r="G5">
        <v>30</v>
      </c>
      <c r="H5">
        <v>18</v>
      </c>
      <c r="I5">
        <v>2</v>
      </c>
      <c r="J5" t="s">
        <v>27</v>
      </c>
      <c r="K5" t="s">
        <v>28</v>
      </c>
      <c r="L5" t="s">
        <v>23</v>
      </c>
      <c r="M5" t="s">
        <v>51</v>
      </c>
      <c r="N5" s="4">
        <v>157</v>
      </c>
      <c r="O5" s="4">
        <f>ApprovedTimeReport_000_202549[[#This Row],[CostRate]]/0.9075</f>
        <v>173.00275482093664</v>
      </c>
      <c r="P5" s="4">
        <f>ApprovedTimeReport_000_202549[[#This Row],[CostRate w/ Taxes]]*ApprovedTimeReport_000_202549[[#This Row],[Time Actual]]</f>
        <v>346.00550964187329</v>
      </c>
      <c r="Q5" t="s">
        <v>52</v>
      </c>
      <c r="R5" s="2" t="str">
        <f>VLOOKUP(A:A,Vlookup!A:B,2,0)</f>
        <v>FF</v>
      </c>
    </row>
    <row r="6" spans="1:18" x14ac:dyDescent="0.3">
      <c r="A6" t="s">
        <v>33</v>
      </c>
      <c r="B6" s="1">
        <v>45762</v>
      </c>
      <c r="C6" s="1">
        <v>45769</v>
      </c>
      <c r="D6" t="s">
        <v>4</v>
      </c>
      <c r="E6">
        <v>2025</v>
      </c>
      <c r="F6">
        <v>4</v>
      </c>
      <c r="G6">
        <v>15</v>
      </c>
      <c r="H6">
        <v>16</v>
      </c>
      <c r="I6">
        <v>1</v>
      </c>
      <c r="J6" t="s">
        <v>27</v>
      </c>
      <c r="K6" t="s">
        <v>28</v>
      </c>
      <c r="L6" t="s">
        <v>23</v>
      </c>
      <c r="M6" t="s">
        <v>120</v>
      </c>
      <c r="N6" s="4">
        <v>157</v>
      </c>
      <c r="O6" s="4">
        <f>ApprovedTimeReport_000_202549[[#This Row],[CostRate]]/0.9075</f>
        <v>173.00275482093664</v>
      </c>
      <c r="P6" s="4">
        <f>ApprovedTimeReport_000_202549[[#This Row],[CostRate w/ Taxes]]*ApprovedTimeReport_000_202549[[#This Row],[Time Actual]]</f>
        <v>173.00275482093664</v>
      </c>
      <c r="Q6" t="s">
        <v>34</v>
      </c>
      <c r="R6" s="2" t="str">
        <f>VLOOKUP(A:A,Vlookup!A:B,2,0)</f>
        <v>T&amp;M</v>
      </c>
    </row>
    <row r="7" spans="1:18" x14ac:dyDescent="0.3">
      <c r="A7" t="s">
        <v>71</v>
      </c>
      <c r="B7" s="1">
        <v>45762</v>
      </c>
      <c r="C7" s="1">
        <v>45769</v>
      </c>
      <c r="D7" t="s">
        <v>4</v>
      </c>
      <c r="E7">
        <v>2025</v>
      </c>
      <c r="F7">
        <v>4</v>
      </c>
      <c r="G7">
        <v>15</v>
      </c>
      <c r="H7">
        <v>16</v>
      </c>
      <c r="I7">
        <v>1</v>
      </c>
      <c r="J7" t="s">
        <v>27</v>
      </c>
      <c r="K7" t="s">
        <v>28</v>
      </c>
      <c r="L7" t="s">
        <v>23</v>
      </c>
      <c r="M7" t="s">
        <v>122</v>
      </c>
      <c r="N7" s="4">
        <v>157</v>
      </c>
      <c r="O7" s="4">
        <f>ApprovedTimeReport_000_202549[[#This Row],[CostRate]]/0.9075</f>
        <v>173.00275482093664</v>
      </c>
      <c r="P7" s="4">
        <f>ApprovedTimeReport_000_202549[[#This Row],[CostRate w/ Taxes]]*ApprovedTimeReport_000_202549[[#This Row],[Time Actual]]</f>
        <v>173.00275482093664</v>
      </c>
      <c r="Q7" t="s">
        <v>59</v>
      </c>
      <c r="R7" s="2" t="str">
        <f>VLOOKUP(A:A,Vlookup!A:B,2,0)</f>
        <v>FF</v>
      </c>
    </row>
    <row r="8" spans="1:18" x14ac:dyDescent="0.3">
      <c r="A8" t="s">
        <v>49</v>
      </c>
      <c r="B8" s="1">
        <v>45754</v>
      </c>
      <c r="C8" s="1">
        <v>45761</v>
      </c>
      <c r="D8" t="s">
        <v>4</v>
      </c>
      <c r="E8">
        <v>2025</v>
      </c>
      <c r="F8">
        <v>4</v>
      </c>
      <c r="G8">
        <v>7</v>
      </c>
      <c r="H8">
        <v>15</v>
      </c>
      <c r="I8">
        <v>2</v>
      </c>
      <c r="J8" t="s">
        <v>27</v>
      </c>
      <c r="K8" t="s">
        <v>28</v>
      </c>
      <c r="L8" t="s">
        <v>23</v>
      </c>
      <c r="M8" t="s">
        <v>139</v>
      </c>
      <c r="N8" s="4">
        <v>157</v>
      </c>
      <c r="O8" s="4">
        <f>ApprovedTimeReport_000_202549[[#This Row],[CostRate]]/0.9075</f>
        <v>173.00275482093664</v>
      </c>
      <c r="P8" s="4">
        <f>ApprovedTimeReport_000_202549[[#This Row],[CostRate w/ Taxes]]*ApprovedTimeReport_000_202549[[#This Row],[Time Actual]]</f>
        <v>346.00550964187329</v>
      </c>
      <c r="Q8" t="s">
        <v>40</v>
      </c>
      <c r="R8" s="2" t="str">
        <f>VLOOKUP(A:A,Vlookup!A:B,2,0)</f>
        <v>FF</v>
      </c>
    </row>
    <row r="9" spans="1:18" x14ac:dyDescent="0.3">
      <c r="A9" t="s">
        <v>49</v>
      </c>
      <c r="B9" s="1">
        <v>45771</v>
      </c>
      <c r="C9" s="1">
        <v>45775</v>
      </c>
      <c r="D9" t="s">
        <v>4</v>
      </c>
      <c r="E9">
        <v>2025</v>
      </c>
      <c r="F9">
        <v>4</v>
      </c>
      <c r="G9">
        <v>24</v>
      </c>
      <c r="H9">
        <v>17</v>
      </c>
      <c r="I9">
        <v>2</v>
      </c>
      <c r="J9" t="s">
        <v>27</v>
      </c>
      <c r="K9" t="s">
        <v>28</v>
      </c>
      <c r="L9" t="s">
        <v>23</v>
      </c>
      <c r="M9" t="s">
        <v>94</v>
      </c>
      <c r="N9" s="4">
        <v>157</v>
      </c>
      <c r="O9" s="4">
        <f>ApprovedTimeReport_000_202549[[#This Row],[CostRate]]/0.9075</f>
        <v>173.00275482093664</v>
      </c>
      <c r="P9" s="4">
        <f>ApprovedTimeReport_000_202549[[#This Row],[CostRate w/ Taxes]]*ApprovedTimeReport_000_202549[[#This Row],[Time Actual]]</f>
        <v>346.00550964187329</v>
      </c>
      <c r="Q9" t="s">
        <v>40</v>
      </c>
      <c r="R9" s="2" t="str">
        <f>VLOOKUP(A:A,Vlookup!A:B,2,0)</f>
        <v>FF</v>
      </c>
    </row>
    <row r="10" spans="1:18" x14ac:dyDescent="0.3">
      <c r="A10" t="s">
        <v>49</v>
      </c>
      <c r="B10" s="1">
        <v>45777</v>
      </c>
      <c r="C10" s="1">
        <v>45782</v>
      </c>
      <c r="D10" t="s">
        <v>4</v>
      </c>
      <c r="E10">
        <v>2025</v>
      </c>
      <c r="F10">
        <v>4</v>
      </c>
      <c r="G10">
        <v>30</v>
      </c>
      <c r="H10">
        <v>18</v>
      </c>
      <c r="I10">
        <v>1</v>
      </c>
      <c r="J10" t="s">
        <v>27</v>
      </c>
      <c r="K10" t="s">
        <v>28</v>
      </c>
      <c r="L10" t="s">
        <v>23</v>
      </c>
      <c r="M10" t="s">
        <v>64</v>
      </c>
      <c r="N10" s="4">
        <v>157</v>
      </c>
      <c r="O10" s="4">
        <f>ApprovedTimeReport_000_202549[[#This Row],[CostRate]]/0.9075</f>
        <v>173.00275482093664</v>
      </c>
      <c r="P10" s="4">
        <f>ApprovedTimeReport_000_202549[[#This Row],[CostRate w/ Taxes]]*ApprovedTimeReport_000_202549[[#This Row],[Time Actual]]</f>
        <v>173.00275482093664</v>
      </c>
      <c r="Q10" t="s">
        <v>40</v>
      </c>
      <c r="R10" s="2" t="str">
        <f>VLOOKUP(A:A,Vlookup!A:B,2,0)</f>
        <v>FF</v>
      </c>
    </row>
    <row r="11" spans="1:18" x14ac:dyDescent="0.3">
      <c r="A11" t="s">
        <v>22</v>
      </c>
      <c r="B11" s="1">
        <v>45749</v>
      </c>
      <c r="C11" s="1">
        <v>45754</v>
      </c>
      <c r="D11" t="s">
        <v>4</v>
      </c>
      <c r="E11">
        <v>2025</v>
      </c>
      <c r="F11">
        <v>4</v>
      </c>
      <c r="G11">
        <v>2</v>
      </c>
      <c r="H11">
        <v>14</v>
      </c>
      <c r="I11">
        <v>2</v>
      </c>
      <c r="J11" t="s">
        <v>27</v>
      </c>
      <c r="K11" t="s">
        <v>28</v>
      </c>
      <c r="L11" t="s">
        <v>23</v>
      </c>
      <c r="M11" t="s">
        <v>149</v>
      </c>
      <c r="N11" s="4">
        <v>99.83</v>
      </c>
      <c r="O11" s="4">
        <f>ApprovedTimeReport_000_202549[[#This Row],[CostRate]]/0.9075</f>
        <v>110.00550964187327</v>
      </c>
      <c r="P11" s="4">
        <f>ApprovedTimeReport_000_202549[[#This Row],[CostRate w/ Taxes]]*ApprovedTimeReport_000_202549[[#This Row],[Time Actual]]</f>
        <v>220.01101928374655</v>
      </c>
      <c r="Q11" t="s">
        <v>24</v>
      </c>
      <c r="R11" s="2" t="str">
        <f>VLOOKUP(A:A,Vlookup!A:B,2,0)</f>
        <v>NB</v>
      </c>
    </row>
    <row r="12" spans="1:18" x14ac:dyDescent="0.3">
      <c r="A12" t="s">
        <v>22</v>
      </c>
      <c r="B12" s="1">
        <v>45756</v>
      </c>
      <c r="C12" s="1">
        <v>45761</v>
      </c>
      <c r="D12" t="s">
        <v>4</v>
      </c>
      <c r="E12">
        <v>2025</v>
      </c>
      <c r="F12">
        <v>4</v>
      </c>
      <c r="G12">
        <v>9</v>
      </c>
      <c r="H12">
        <v>15</v>
      </c>
      <c r="I12">
        <v>2</v>
      </c>
      <c r="J12" t="s">
        <v>27</v>
      </c>
      <c r="K12" t="s">
        <v>28</v>
      </c>
      <c r="L12" t="s">
        <v>23</v>
      </c>
      <c r="M12" t="s">
        <v>135</v>
      </c>
      <c r="N12" s="4">
        <v>99.83</v>
      </c>
      <c r="O12" s="4">
        <f>ApprovedTimeReport_000_202549[[#This Row],[CostRate]]/0.9075</f>
        <v>110.00550964187327</v>
      </c>
      <c r="P12" s="4">
        <f>ApprovedTimeReport_000_202549[[#This Row],[CostRate w/ Taxes]]*ApprovedTimeReport_000_202549[[#This Row],[Time Actual]]</f>
        <v>220.01101928374655</v>
      </c>
      <c r="Q12" t="s">
        <v>24</v>
      </c>
      <c r="R12" s="2" t="str">
        <f>VLOOKUP(A:A,Vlookup!A:B,2,0)</f>
        <v>NB</v>
      </c>
    </row>
    <row r="13" spans="1:18" x14ac:dyDescent="0.3">
      <c r="A13" t="s">
        <v>110</v>
      </c>
      <c r="B13" s="1">
        <v>45749</v>
      </c>
      <c r="C13" s="1">
        <v>45754</v>
      </c>
      <c r="D13" t="s">
        <v>62</v>
      </c>
      <c r="E13">
        <v>2025</v>
      </c>
      <c r="F13">
        <v>4</v>
      </c>
      <c r="G13">
        <v>2</v>
      </c>
      <c r="H13">
        <v>14</v>
      </c>
      <c r="I13">
        <v>3</v>
      </c>
      <c r="J13" t="s">
        <v>27</v>
      </c>
      <c r="K13" t="s">
        <v>28</v>
      </c>
      <c r="L13" t="s">
        <v>23</v>
      </c>
      <c r="M13" t="s">
        <v>150</v>
      </c>
      <c r="N13" s="4">
        <v>99.83</v>
      </c>
      <c r="O13" s="4">
        <f>ApprovedTimeReport_000_202549[[#This Row],[CostRate]]/0.9075</f>
        <v>110.00550964187327</v>
      </c>
      <c r="P13" s="4">
        <f>ApprovedTimeReport_000_202549[[#This Row],[CostRate w/ Taxes]]*ApprovedTimeReport_000_202549[[#This Row],[Time Actual]]</f>
        <v>330.01652892561981</v>
      </c>
      <c r="Q13" t="s">
        <v>24</v>
      </c>
      <c r="R13" s="2" t="str">
        <f>VLOOKUP(A:A,Vlookup!A:B,2,0)</f>
        <v>NB</v>
      </c>
    </row>
    <row r="14" spans="1:18" x14ac:dyDescent="0.3">
      <c r="A14" t="s">
        <v>110</v>
      </c>
      <c r="B14" s="1">
        <v>45750</v>
      </c>
      <c r="C14" s="1">
        <v>45754</v>
      </c>
      <c r="D14" t="s">
        <v>62</v>
      </c>
      <c r="E14">
        <v>2025</v>
      </c>
      <c r="F14">
        <v>4</v>
      </c>
      <c r="G14">
        <v>3</v>
      </c>
      <c r="H14">
        <v>14</v>
      </c>
      <c r="I14">
        <v>5</v>
      </c>
      <c r="J14" t="s">
        <v>27</v>
      </c>
      <c r="K14" t="s">
        <v>28</v>
      </c>
      <c r="L14" t="s">
        <v>23</v>
      </c>
      <c r="M14" t="s">
        <v>147</v>
      </c>
      <c r="N14" s="4">
        <v>99.83</v>
      </c>
      <c r="O14" s="4">
        <f>ApprovedTimeReport_000_202549[[#This Row],[CostRate]]/0.9075</f>
        <v>110.00550964187327</v>
      </c>
      <c r="P14" s="4">
        <f>ApprovedTimeReport_000_202549[[#This Row],[CostRate w/ Taxes]]*ApprovedTimeReport_000_202549[[#This Row],[Time Actual]]</f>
        <v>550.02754820936639</v>
      </c>
      <c r="Q14" t="s">
        <v>24</v>
      </c>
      <c r="R14" s="2" t="str">
        <f>VLOOKUP(A:A,Vlookup!A:B,2,0)</f>
        <v>NB</v>
      </c>
    </row>
    <row r="15" spans="1:18" x14ac:dyDescent="0.3">
      <c r="A15" t="s">
        <v>110</v>
      </c>
      <c r="B15" s="1">
        <v>45751</v>
      </c>
      <c r="C15" s="1">
        <v>45754</v>
      </c>
      <c r="D15" t="s">
        <v>62</v>
      </c>
      <c r="E15">
        <v>2025</v>
      </c>
      <c r="F15">
        <v>4</v>
      </c>
      <c r="G15">
        <v>4</v>
      </c>
      <c r="H15">
        <v>14</v>
      </c>
      <c r="I15">
        <v>6</v>
      </c>
      <c r="J15" t="s">
        <v>27</v>
      </c>
      <c r="K15" t="s">
        <v>28</v>
      </c>
      <c r="L15" t="s">
        <v>23</v>
      </c>
      <c r="M15" t="s">
        <v>142</v>
      </c>
      <c r="N15" s="4">
        <v>99.83</v>
      </c>
      <c r="O15" s="4">
        <f>ApprovedTimeReport_000_202549[[#This Row],[CostRate]]/0.9075</f>
        <v>110.00550964187327</v>
      </c>
      <c r="P15" s="4">
        <f>ApprovedTimeReport_000_202549[[#This Row],[CostRate w/ Taxes]]*ApprovedTimeReport_000_202549[[#This Row],[Time Actual]]</f>
        <v>660.03305785123962</v>
      </c>
      <c r="Q15" t="s">
        <v>24</v>
      </c>
      <c r="R15" s="2" t="str">
        <f>VLOOKUP(A:A,Vlookup!A:B,2,0)</f>
        <v>NB</v>
      </c>
    </row>
    <row r="16" spans="1:18" x14ac:dyDescent="0.3">
      <c r="A16" t="s">
        <v>110</v>
      </c>
      <c r="B16" s="1">
        <v>45754</v>
      </c>
      <c r="C16" s="1">
        <v>45761</v>
      </c>
      <c r="D16" t="s">
        <v>62</v>
      </c>
      <c r="E16">
        <v>2025</v>
      </c>
      <c r="F16">
        <v>4</v>
      </c>
      <c r="G16">
        <v>7</v>
      </c>
      <c r="H16">
        <v>15</v>
      </c>
      <c r="I16">
        <v>5</v>
      </c>
      <c r="J16" t="s">
        <v>27</v>
      </c>
      <c r="K16" t="s">
        <v>28</v>
      </c>
      <c r="L16" t="s">
        <v>23</v>
      </c>
      <c r="M16" t="s">
        <v>140</v>
      </c>
      <c r="N16" s="4">
        <v>99.83</v>
      </c>
      <c r="O16" s="4">
        <f>ApprovedTimeReport_000_202549[[#This Row],[CostRate]]/0.9075</f>
        <v>110.00550964187327</v>
      </c>
      <c r="P16" s="4">
        <f>ApprovedTimeReport_000_202549[[#This Row],[CostRate w/ Taxes]]*ApprovedTimeReport_000_202549[[#This Row],[Time Actual]]</f>
        <v>550.02754820936639</v>
      </c>
      <c r="Q16" t="s">
        <v>24</v>
      </c>
      <c r="R16" s="2" t="str">
        <f>VLOOKUP(A:A,Vlookup!A:B,2,0)</f>
        <v>NB</v>
      </c>
    </row>
    <row r="17" spans="1:18" x14ac:dyDescent="0.3">
      <c r="A17" t="s">
        <v>110</v>
      </c>
      <c r="B17" s="1">
        <v>45755</v>
      </c>
      <c r="C17" s="1">
        <v>45761</v>
      </c>
      <c r="D17" t="s">
        <v>62</v>
      </c>
      <c r="E17">
        <v>2025</v>
      </c>
      <c r="F17">
        <v>4</v>
      </c>
      <c r="G17">
        <v>8</v>
      </c>
      <c r="H17">
        <v>15</v>
      </c>
      <c r="I17">
        <v>6</v>
      </c>
      <c r="J17" t="s">
        <v>27</v>
      </c>
      <c r="K17" t="s">
        <v>28</v>
      </c>
      <c r="L17" t="s">
        <v>23</v>
      </c>
      <c r="M17" t="s">
        <v>136</v>
      </c>
      <c r="N17" s="4">
        <v>99.83</v>
      </c>
      <c r="O17" s="4">
        <f>ApprovedTimeReport_000_202549[[#This Row],[CostRate]]/0.9075</f>
        <v>110.00550964187327</v>
      </c>
      <c r="P17" s="4">
        <f>ApprovedTimeReport_000_202549[[#This Row],[CostRate w/ Taxes]]*ApprovedTimeReport_000_202549[[#This Row],[Time Actual]]</f>
        <v>660.03305785123962</v>
      </c>
      <c r="Q17" t="s">
        <v>24</v>
      </c>
      <c r="R17" s="2" t="str">
        <f>VLOOKUP(A:A,Vlookup!A:B,2,0)</f>
        <v>NB</v>
      </c>
    </row>
    <row r="18" spans="1:18" x14ac:dyDescent="0.3">
      <c r="A18" t="s">
        <v>110</v>
      </c>
      <c r="B18" s="1">
        <v>45756</v>
      </c>
      <c r="C18" s="1">
        <v>45761</v>
      </c>
      <c r="D18" t="s">
        <v>62</v>
      </c>
      <c r="E18">
        <v>2025</v>
      </c>
      <c r="F18">
        <v>4</v>
      </c>
      <c r="G18">
        <v>9</v>
      </c>
      <c r="H18">
        <v>15</v>
      </c>
      <c r="I18">
        <v>3</v>
      </c>
      <c r="J18" t="s">
        <v>27</v>
      </c>
      <c r="K18" t="s">
        <v>28</v>
      </c>
      <c r="L18" t="s">
        <v>23</v>
      </c>
      <c r="M18" t="s">
        <v>134</v>
      </c>
      <c r="N18" s="4">
        <v>99.83</v>
      </c>
      <c r="O18" s="4">
        <f>ApprovedTimeReport_000_202549[[#This Row],[CostRate]]/0.9075</f>
        <v>110.00550964187327</v>
      </c>
      <c r="P18" s="4">
        <f>ApprovedTimeReport_000_202549[[#This Row],[CostRate w/ Taxes]]*ApprovedTimeReport_000_202549[[#This Row],[Time Actual]]</f>
        <v>330.01652892561981</v>
      </c>
      <c r="Q18" t="s">
        <v>24</v>
      </c>
      <c r="R18" s="2" t="str">
        <f>VLOOKUP(A:A,Vlookup!A:B,2,0)</f>
        <v>NB</v>
      </c>
    </row>
    <row r="19" spans="1:18" x14ac:dyDescent="0.3">
      <c r="A19" t="s">
        <v>110</v>
      </c>
      <c r="B19" s="1">
        <v>45757</v>
      </c>
      <c r="C19" s="1">
        <v>45761</v>
      </c>
      <c r="D19" t="s">
        <v>62</v>
      </c>
      <c r="E19">
        <v>2025</v>
      </c>
      <c r="F19">
        <v>4</v>
      </c>
      <c r="G19">
        <v>10</v>
      </c>
      <c r="H19">
        <v>15</v>
      </c>
      <c r="I19">
        <v>6</v>
      </c>
      <c r="J19" t="s">
        <v>27</v>
      </c>
      <c r="K19" t="s">
        <v>28</v>
      </c>
      <c r="L19" t="s">
        <v>23</v>
      </c>
      <c r="M19" t="s">
        <v>131</v>
      </c>
      <c r="N19" s="4">
        <v>99.83</v>
      </c>
      <c r="O19" s="4">
        <f>ApprovedTimeReport_000_202549[[#This Row],[CostRate]]/0.9075</f>
        <v>110.00550964187327</v>
      </c>
      <c r="P19" s="4">
        <f>ApprovedTimeReport_000_202549[[#This Row],[CostRate w/ Taxes]]*ApprovedTimeReport_000_202549[[#This Row],[Time Actual]]</f>
        <v>660.03305785123962</v>
      </c>
      <c r="Q19" t="s">
        <v>24</v>
      </c>
      <c r="R19" s="2" t="str">
        <f>VLOOKUP(A:A,Vlookup!A:B,2,0)</f>
        <v>NB</v>
      </c>
    </row>
    <row r="20" spans="1:18" x14ac:dyDescent="0.3">
      <c r="A20" t="s">
        <v>110</v>
      </c>
      <c r="B20" s="1">
        <v>45758</v>
      </c>
      <c r="C20" s="1">
        <v>45761</v>
      </c>
      <c r="D20" t="s">
        <v>62</v>
      </c>
      <c r="E20">
        <v>2025</v>
      </c>
      <c r="F20">
        <v>4</v>
      </c>
      <c r="G20">
        <v>11</v>
      </c>
      <c r="H20">
        <v>15</v>
      </c>
      <c r="I20">
        <v>2</v>
      </c>
      <c r="J20" t="s">
        <v>27</v>
      </c>
      <c r="K20" t="s">
        <v>28</v>
      </c>
      <c r="L20" t="s">
        <v>23</v>
      </c>
      <c r="M20" t="s">
        <v>128</v>
      </c>
      <c r="N20" s="4">
        <v>99.83</v>
      </c>
      <c r="O20" s="4">
        <f>ApprovedTimeReport_000_202549[[#This Row],[CostRate]]/0.9075</f>
        <v>110.00550964187327</v>
      </c>
      <c r="P20" s="4">
        <f>ApprovedTimeReport_000_202549[[#This Row],[CostRate w/ Taxes]]*ApprovedTimeReport_000_202549[[#This Row],[Time Actual]]</f>
        <v>220.01101928374655</v>
      </c>
      <c r="Q20" t="s">
        <v>24</v>
      </c>
      <c r="R20" s="2" t="str">
        <f>VLOOKUP(A:A,Vlookup!A:B,2,0)</f>
        <v>NB</v>
      </c>
    </row>
    <row r="21" spans="1:18" x14ac:dyDescent="0.3">
      <c r="A21" t="s">
        <v>110</v>
      </c>
      <c r="B21" s="1">
        <v>45761</v>
      </c>
      <c r="C21" s="1">
        <v>45769</v>
      </c>
      <c r="D21" t="s">
        <v>62</v>
      </c>
      <c r="E21">
        <v>2025</v>
      </c>
      <c r="F21">
        <v>4</v>
      </c>
      <c r="G21">
        <v>14</v>
      </c>
      <c r="H21">
        <v>16</v>
      </c>
      <c r="I21">
        <v>4</v>
      </c>
      <c r="J21" t="s">
        <v>27</v>
      </c>
      <c r="K21" t="s">
        <v>28</v>
      </c>
      <c r="L21" t="s">
        <v>23</v>
      </c>
      <c r="M21" t="s">
        <v>126</v>
      </c>
      <c r="N21" s="4">
        <v>99.83</v>
      </c>
      <c r="O21" s="4">
        <f>ApprovedTimeReport_000_202549[[#This Row],[CostRate]]/0.9075</f>
        <v>110.00550964187327</v>
      </c>
      <c r="P21" s="4">
        <f>ApprovedTimeReport_000_202549[[#This Row],[CostRate w/ Taxes]]*ApprovedTimeReport_000_202549[[#This Row],[Time Actual]]</f>
        <v>440.0220385674931</v>
      </c>
      <c r="Q21" t="s">
        <v>24</v>
      </c>
      <c r="R21" s="2" t="str">
        <f>VLOOKUP(A:A,Vlookup!A:B,2,0)</f>
        <v>NB</v>
      </c>
    </row>
    <row r="22" spans="1:18" x14ac:dyDescent="0.3">
      <c r="A22" t="s">
        <v>110</v>
      </c>
      <c r="B22" s="1">
        <v>45762</v>
      </c>
      <c r="C22" s="1">
        <v>45769</v>
      </c>
      <c r="D22" t="s">
        <v>62</v>
      </c>
      <c r="E22">
        <v>2025</v>
      </c>
      <c r="F22">
        <v>4</v>
      </c>
      <c r="G22">
        <v>15</v>
      </c>
      <c r="H22">
        <v>16</v>
      </c>
      <c r="I22">
        <v>3</v>
      </c>
      <c r="J22" t="s">
        <v>27</v>
      </c>
      <c r="K22" t="s">
        <v>28</v>
      </c>
      <c r="L22" t="s">
        <v>23</v>
      </c>
      <c r="M22" t="s">
        <v>121</v>
      </c>
      <c r="N22" s="4">
        <v>99.83</v>
      </c>
      <c r="O22" s="4">
        <f>ApprovedTimeReport_000_202549[[#This Row],[CostRate]]/0.9075</f>
        <v>110.00550964187327</v>
      </c>
      <c r="P22" s="4">
        <f>ApprovedTimeReport_000_202549[[#This Row],[CostRate w/ Taxes]]*ApprovedTimeReport_000_202549[[#This Row],[Time Actual]]</f>
        <v>330.01652892561981</v>
      </c>
      <c r="Q22" t="s">
        <v>24</v>
      </c>
      <c r="R22" s="2" t="str">
        <f>VLOOKUP(A:A,Vlookup!A:B,2,0)</f>
        <v>NB</v>
      </c>
    </row>
    <row r="23" spans="1:18" x14ac:dyDescent="0.3">
      <c r="A23" t="s">
        <v>110</v>
      </c>
      <c r="B23" s="1">
        <v>45763</v>
      </c>
      <c r="C23" s="1">
        <v>45769</v>
      </c>
      <c r="D23" t="s">
        <v>62</v>
      </c>
      <c r="E23">
        <v>2025</v>
      </c>
      <c r="F23">
        <v>4</v>
      </c>
      <c r="G23">
        <v>16</v>
      </c>
      <c r="H23">
        <v>16</v>
      </c>
      <c r="I23">
        <v>4</v>
      </c>
      <c r="J23" t="s">
        <v>27</v>
      </c>
      <c r="K23" t="s">
        <v>28</v>
      </c>
      <c r="L23" t="s">
        <v>23</v>
      </c>
      <c r="M23" t="s">
        <v>116</v>
      </c>
      <c r="N23" s="4">
        <v>99.83</v>
      </c>
      <c r="O23" s="4">
        <f>ApprovedTimeReport_000_202549[[#This Row],[CostRate]]/0.9075</f>
        <v>110.00550964187327</v>
      </c>
      <c r="P23" s="4">
        <f>ApprovedTimeReport_000_202549[[#This Row],[CostRate w/ Taxes]]*ApprovedTimeReport_000_202549[[#This Row],[Time Actual]]</f>
        <v>440.0220385674931</v>
      </c>
      <c r="Q23" t="s">
        <v>24</v>
      </c>
      <c r="R23" s="2" t="str">
        <f>VLOOKUP(A:A,Vlookup!A:B,2,0)</f>
        <v>NB</v>
      </c>
    </row>
    <row r="24" spans="1:18" x14ac:dyDescent="0.3">
      <c r="A24" t="s">
        <v>110</v>
      </c>
      <c r="B24" s="1">
        <v>45764</v>
      </c>
      <c r="C24" s="1">
        <v>45769</v>
      </c>
      <c r="D24" t="s">
        <v>62</v>
      </c>
      <c r="E24">
        <v>2025</v>
      </c>
      <c r="F24">
        <v>4</v>
      </c>
      <c r="G24">
        <v>17</v>
      </c>
      <c r="H24">
        <v>16</v>
      </c>
      <c r="I24">
        <v>4</v>
      </c>
      <c r="J24" t="s">
        <v>27</v>
      </c>
      <c r="K24" t="s">
        <v>28</v>
      </c>
      <c r="L24" t="s">
        <v>23</v>
      </c>
      <c r="M24" t="s">
        <v>111</v>
      </c>
      <c r="N24" s="4">
        <v>99.83</v>
      </c>
      <c r="O24" s="4">
        <f>ApprovedTimeReport_000_202549[[#This Row],[CostRate]]/0.9075</f>
        <v>110.00550964187327</v>
      </c>
      <c r="P24" s="4">
        <f>ApprovedTimeReport_000_202549[[#This Row],[CostRate w/ Taxes]]*ApprovedTimeReport_000_202549[[#This Row],[Time Actual]]</f>
        <v>440.0220385674931</v>
      </c>
      <c r="Q24" t="s">
        <v>24</v>
      </c>
      <c r="R24" s="2" t="str">
        <f>VLOOKUP(A:A,Vlookup!A:B,2,0)</f>
        <v>NB</v>
      </c>
    </row>
    <row r="25" spans="1:18" x14ac:dyDescent="0.3">
      <c r="A25" t="s">
        <v>90</v>
      </c>
      <c r="B25" s="1">
        <v>45748</v>
      </c>
      <c r="C25" s="1">
        <v>45754</v>
      </c>
      <c r="D25" t="s">
        <v>36</v>
      </c>
      <c r="E25">
        <v>2025</v>
      </c>
      <c r="F25">
        <v>4</v>
      </c>
      <c r="G25">
        <v>1</v>
      </c>
      <c r="H25">
        <v>14</v>
      </c>
      <c r="I25">
        <v>5</v>
      </c>
      <c r="J25" t="s">
        <v>27</v>
      </c>
      <c r="K25" t="s">
        <v>28</v>
      </c>
      <c r="L25" t="s">
        <v>44</v>
      </c>
      <c r="M25" t="s">
        <v>151</v>
      </c>
      <c r="N25" s="4">
        <v>99.83</v>
      </c>
      <c r="O25" s="4">
        <f>ApprovedTimeReport_000_202549[[#This Row],[CostRate]]/0.9075</f>
        <v>110.00550964187327</v>
      </c>
      <c r="P25" s="4">
        <f>ApprovedTimeReport_000_202549[[#This Row],[CostRate w/ Taxes]]*ApprovedTimeReport_000_202549[[#This Row],[Time Actual]]</f>
        <v>550.02754820936639</v>
      </c>
      <c r="Q25" t="s">
        <v>24</v>
      </c>
      <c r="R25" s="2" t="str">
        <f>VLOOKUP(A:A,Vlookup!A:B,2,0)</f>
        <v>NB</v>
      </c>
    </row>
    <row r="26" spans="1:18" x14ac:dyDescent="0.3">
      <c r="A26" t="s">
        <v>90</v>
      </c>
      <c r="B26" s="1">
        <v>45749</v>
      </c>
      <c r="C26" s="1">
        <v>45754</v>
      </c>
      <c r="D26" t="s">
        <v>36</v>
      </c>
      <c r="E26">
        <v>2025</v>
      </c>
      <c r="F26">
        <v>4</v>
      </c>
      <c r="G26">
        <v>2</v>
      </c>
      <c r="H26">
        <v>14</v>
      </c>
      <c r="I26">
        <v>4</v>
      </c>
      <c r="J26" t="s">
        <v>27</v>
      </c>
      <c r="K26" t="s">
        <v>28</v>
      </c>
      <c r="L26" t="s">
        <v>44</v>
      </c>
      <c r="M26" t="s">
        <v>148</v>
      </c>
      <c r="N26" s="4">
        <v>99.83</v>
      </c>
      <c r="O26" s="4">
        <f>ApprovedTimeReport_000_202549[[#This Row],[CostRate]]/0.9075</f>
        <v>110.00550964187327</v>
      </c>
      <c r="P26" s="4">
        <f>ApprovedTimeReport_000_202549[[#This Row],[CostRate w/ Taxes]]*ApprovedTimeReport_000_202549[[#This Row],[Time Actual]]</f>
        <v>440.0220385674931</v>
      </c>
      <c r="Q26" t="s">
        <v>24</v>
      </c>
      <c r="R26" s="2" t="str">
        <f>VLOOKUP(A:A,Vlookup!A:B,2,0)</f>
        <v>NB</v>
      </c>
    </row>
    <row r="27" spans="1:18" x14ac:dyDescent="0.3">
      <c r="A27" t="s">
        <v>90</v>
      </c>
      <c r="B27" s="1">
        <v>45750</v>
      </c>
      <c r="C27" s="1">
        <v>45754</v>
      </c>
      <c r="D27" t="s">
        <v>36</v>
      </c>
      <c r="E27">
        <v>2025</v>
      </c>
      <c r="F27">
        <v>4</v>
      </c>
      <c r="G27">
        <v>3</v>
      </c>
      <c r="H27">
        <v>14</v>
      </c>
      <c r="I27">
        <v>2</v>
      </c>
      <c r="J27" t="s">
        <v>27</v>
      </c>
      <c r="K27" t="s">
        <v>28</v>
      </c>
      <c r="L27" t="s">
        <v>44</v>
      </c>
      <c r="M27" t="s">
        <v>145</v>
      </c>
      <c r="N27" s="4">
        <v>99.83</v>
      </c>
      <c r="O27" s="4">
        <f>ApprovedTimeReport_000_202549[[#This Row],[CostRate]]/0.9075</f>
        <v>110.00550964187327</v>
      </c>
      <c r="P27" s="4">
        <f>ApprovedTimeReport_000_202549[[#This Row],[CostRate w/ Taxes]]*ApprovedTimeReport_000_202549[[#This Row],[Time Actual]]</f>
        <v>220.01101928374655</v>
      </c>
      <c r="Q27" t="s">
        <v>24</v>
      </c>
      <c r="R27" s="2" t="str">
        <f>VLOOKUP(A:A,Vlookup!A:B,2,0)</f>
        <v>NB</v>
      </c>
    </row>
    <row r="28" spans="1:18" x14ac:dyDescent="0.3">
      <c r="A28" t="s">
        <v>90</v>
      </c>
      <c r="B28" s="1">
        <v>45751</v>
      </c>
      <c r="C28" s="1">
        <v>45754</v>
      </c>
      <c r="D28" t="s">
        <v>36</v>
      </c>
      <c r="E28">
        <v>2025</v>
      </c>
      <c r="F28">
        <v>4</v>
      </c>
      <c r="G28">
        <v>4</v>
      </c>
      <c r="H28">
        <v>14</v>
      </c>
      <c r="I28">
        <v>2</v>
      </c>
      <c r="J28" t="s">
        <v>27</v>
      </c>
      <c r="K28" t="s">
        <v>28</v>
      </c>
      <c r="L28" t="s">
        <v>44</v>
      </c>
      <c r="M28" t="s">
        <v>144</v>
      </c>
      <c r="N28" s="4">
        <v>99.83</v>
      </c>
      <c r="O28" s="4">
        <f>ApprovedTimeReport_000_202549[[#This Row],[CostRate]]/0.9075</f>
        <v>110.00550964187327</v>
      </c>
      <c r="P28" s="4">
        <f>ApprovedTimeReport_000_202549[[#This Row],[CostRate w/ Taxes]]*ApprovedTimeReport_000_202549[[#This Row],[Time Actual]]</f>
        <v>220.01101928374655</v>
      </c>
      <c r="Q28" t="s">
        <v>24</v>
      </c>
      <c r="R28" s="2" t="str">
        <f>VLOOKUP(A:A,Vlookup!A:B,2,0)</f>
        <v>NB</v>
      </c>
    </row>
    <row r="29" spans="1:18" x14ac:dyDescent="0.3">
      <c r="A29" t="s">
        <v>90</v>
      </c>
      <c r="B29" s="1">
        <v>45754</v>
      </c>
      <c r="C29" s="1">
        <v>45761</v>
      </c>
      <c r="D29" t="s">
        <v>36</v>
      </c>
      <c r="E29">
        <v>2025</v>
      </c>
      <c r="F29">
        <v>4</v>
      </c>
      <c r="G29">
        <v>7</v>
      </c>
      <c r="H29">
        <v>15</v>
      </c>
      <c r="I29">
        <v>2</v>
      </c>
      <c r="J29" t="s">
        <v>27</v>
      </c>
      <c r="K29" t="s">
        <v>28</v>
      </c>
      <c r="L29" t="s">
        <v>44</v>
      </c>
      <c r="M29" t="s">
        <v>137</v>
      </c>
      <c r="N29" s="4">
        <v>99.83</v>
      </c>
      <c r="O29" s="4">
        <f>ApprovedTimeReport_000_202549[[#This Row],[CostRate]]/0.9075</f>
        <v>110.00550964187327</v>
      </c>
      <c r="P29" s="4">
        <f>ApprovedTimeReport_000_202549[[#This Row],[CostRate w/ Taxes]]*ApprovedTimeReport_000_202549[[#This Row],[Time Actual]]</f>
        <v>220.01101928374655</v>
      </c>
      <c r="Q29" t="s">
        <v>24</v>
      </c>
      <c r="R29" s="2" t="str">
        <f>VLOOKUP(A:A,Vlookup!A:B,2,0)</f>
        <v>NB</v>
      </c>
    </row>
    <row r="30" spans="1:18" x14ac:dyDescent="0.3">
      <c r="A30" t="s">
        <v>90</v>
      </c>
      <c r="B30" s="1">
        <v>45756</v>
      </c>
      <c r="C30" s="1">
        <v>45761</v>
      </c>
      <c r="D30" t="s">
        <v>36</v>
      </c>
      <c r="E30">
        <v>2025</v>
      </c>
      <c r="F30">
        <v>4</v>
      </c>
      <c r="G30">
        <v>9</v>
      </c>
      <c r="H30">
        <v>15</v>
      </c>
      <c r="I30">
        <v>3</v>
      </c>
      <c r="J30" t="s">
        <v>27</v>
      </c>
      <c r="K30" t="s">
        <v>28</v>
      </c>
      <c r="L30" t="s">
        <v>44</v>
      </c>
      <c r="M30" t="s">
        <v>132</v>
      </c>
      <c r="N30" s="4">
        <v>99.83</v>
      </c>
      <c r="O30" s="4">
        <f>ApprovedTimeReport_000_202549[[#This Row],[CostRate]]/0.9075</f>
        <v>110.00550964187327</v>
      </c>
      <c r="P30" s="4">
        <f>ApprovedTimeReport_000_202549[[#This Row],[CostRate w/ Taxes]]*ApprovedTimeReport_000_202549[[#This Row],[Time Actual]]</f>
        <v>330.01652892561981</v>
      </c>
      <c r="Q30" t="s">
        <v>24</v>
      </c>
      <c r="R30" s="2" t="str">
        <f>VLOOKUP(A:A,Vlookup!A:B,2,0)</f>
        <v>NB</v>
      </c>
    </row>
    <row r="31" spans="1:18" x14ac:dyDescent="0.3">
      <c r="A31" t="s">
        <v>90</v>
      </c>
      <c r="B31" s="1">
        <v>45757</v>
      </c>
      <c r="C31" s="1">
        <v>45761</v>
      </c>
      <c r="D31" t="s">
        <v>36</v>
      </c>
      <c r="E31">
        <v>2025</v>
      </c>
      <c r="F31">
        <v>4</v>
      </c>
      <c r="G31">
        <v>10</v>
      </c>
      <c r="H31">
        <v>15</v>
      </c>
      <c r="I31">
        <v>2</v>
      </c>
      <c r="J31" t="s">
        <v>27</v>
      </c>
      <c r="K31" t="s">
        <v>28</v>
      </c>
      <c r="L31" t="s">
        <v>44</v>
      </c>
      <c r="M31" t="s">
        <v>129</v>
      </c>
      <c r="N31" s="4">
        <v>99.83</v>
      </c>
      <c r="O31" s="4">
        <f>ApprovedTimeReport_000_202549[[#This Row],[CostRate]]/0.9075</f>
        <v>110.00550964187327</v>
      </c>
      <c r="P31" s="4">
        <f>ApprovedTimeReport_000_202549[[#This Row],[CostRate w/ Taxes]]*ApprovedTimeReport_000_202549[[#This Row],[Time Actual]]</f>
        <v>220.01101928374655</v>
      </c>
      <c r="Q31" t="s">
        <v>24</v>
      </c>
      <c r="R31" s="2" t="str">
        <f>VLOOKUP(A:A,Vlookup!A:B,2,0)</f>
        <v>NB</v>
      </c>
    </row>
    <row r="32" spans="1:18" x14ac:dyDescent="0.3">
      <c r="A32" t="s">
        <v>90</v>
      </c>
      <c r="B32" s="1">
        <v>45758</v>
      </c>
      <c r="C32" s="1">
        <v>45761</v>
      </c>
      <c r="D32" t="s">
        <v>36</v>
      </c>
      <c r="E32">
        <v>2025</v>
      </c>
      <c r="F32">
        <v>4</v>
      </c>
      <c r="G32">
        <v>11</v>
      </c>
      <c r="H32">
        <v>15</v>
      </c>
      <c r="I32">
        <v>6</v>
      </c>
      <c r="J32" t="s">
        <v>27</v>
      </c>
      <c r="K32" t="s">
        <v>28</v>
      </c>
      <c r="L32" t="s">
        <v>44</v>
      </c>
      <c r="M32" t="s">
        <v>127</v>
      </c>
      <c r="N32" s="4">
        <v>99.83</v>
      </c>
      <c r="O32" s="4">
        <f>ApprovedTimeReport_000_202549[[#This Row],[CostRate]]/0.9075</f>
        <v>110.00550964187327</v>
      </c>
      <c r="P32" s="4">
        <f>ApprovedTimeReport_000_202549[[#This Row],[CostRate w/ Taxes]]*ApprovedTimeReport_000_202549[[#This Row],[Time Actual]]</f>
        <v>660.03305785123962</v>
      </c>
      <c r="Q32" t="s">
        <v>24</v>
      </c>
      <c r="R32" s="2" t="str">
        <f>VLOOKUP(A:A,Vlookup!A:B,2,0)</f>
        <v>NB</v>
      </c>
    </row>
    <row r="33" spans="1:18" x14ac:dyDescent="0.3">
      <c r="A33" t="s">
        <v>90</v>
      </c>
      <c r="B33" s="1">
        <v>45761</v>
      </c>
      <c r="C33" s="1">
        <v>45769</v>
      </c>
      <c r="D33" t="s">
        <v>36</v>
      </c>
      <c r="E33">
        <v>2025</v>
      </c>
      <c r="F33">
        <v>4</v>
      </c>
      <c r="G33">
        <v>14</v>
      </c>
      <c r="H33">
        <v>16</v>
      </c>
      <c r="I33">
        <v>2</v>
      </c>
      <c r="J33" t="s">
        <v>27</v>
      </c>
      <c r="K33" t="s">
        <v>28</v>
      </c>
      <c r="L33" t="s">
        <v>44</v>
      </c>
      <c r="M33" t="s">
        <v>125</v>
      </c>
      <c r="N33" s="4">
        <v>99.83</v>
      </c>
      <c r="O33" s="4">
        <f>ApprovedTimeReport_000_202549[[#This Row],[CostRate]]/0.9075</f>
        <v>110.00550964187327</v>
      </c>
      <c r="P33" s="4">
        <f>ApprovedTimeReport_000_202549[[#This Row],[CostRate w/ Taxes]]*ApprovedTimeReport_000_202549[[#This Row],[Time Actual]]</f>
        <v>220.01101928374655</v>
      </c>
      <c r="Q33" t="s">
        <v>24</v>
      </c>
      <c r="R33" s="2" t="str">
        <f>VLOOKUP(A:A,Vlookup!A:B,2,0)</f>
        <v>NB</v>
      </c>
    </row>
    <row r="34" spans="1:18" x14ac:dyDescent="0.3">
      <c r="A34" t="s">
        <v>90</v>
      </c>
      <c r="B34" s="1">
        <v>45762</v>
      </c>
      <c r="C34" s="1">
        <v>45769</v>
      </c>
      <c r="D34" t="s">
        <v>36</v>
      </c>
      <c r="E34">
        <v>2025</v>
      </c>
      <c r="F34">
        <v>4</v>
      </c>
      <c r="G34">
        <v>15</v>
      </c>
      <c r="H34">
        <v>16</v>
      </c>
      <c r="I34">
        <v>3</v>
      </c>
      <c r="J34" t="s">
        <v>27</v>
      </c>
      <c r="K34" t="s">
        <v>28</v>
      </c>
      <c r="L34" t="s">
        <v>44</v>
      </c>
      <c r="M34" t="s">
        <v>119</v>
      </c>
      <c r="N34" s="4">
        <v>99.83</v>
      </c>
      <c r="O34" s="4">
        <f>ApprovedTimeReport_000_202549[[#This Row],[CostRate]]/0.9075</f>
        <v>110.00550964187327</v>
      </c>
      <c r="P34" s="4">
        <f>ApprovedTimeReport_000_202549[[#This Row],[CostRate w/ Taxes]]*ApprovedTimeReport_000_202549[[#This Row],[Time Actual]]</f>
        <v>330.01652892561981</v>
      </c>
      <c r="Q34" t="s">
        <v>24</v>
      </c>
      <c r="R34" s="2" t="str">
        <f>VLOOKUP(A:A,Vlookup!A:B,2,0)</f>
        <v>NB</v>
      </c>
    </row>
    <row r="35" spans="1:18" x14ac:dyDescent="0.3">
      <c r="A35" t="s">
        <v>90</v>
      </c>
      <c r="B35" s="1">
        <v>45763</v>
      </c>
      <c r="C35" s="1">
        <v>45769</v>
      </c>
      <c r="D35" t="s">
        <v>36</v>
      </c>
      <c r="E35">
        <v>2025</v>
      </c>
      <c r="F35">
        <v>4</v>
      </c>
      <c r="G35">
        <v>16</v>
      </c>
      <c r="H35">
        <v>16</v>
      </c>
      <c r="I35">
        <v>4</v>
      </c>
      <c r="J35" t="s">
        <v>27</v>
      </c>
      <c r="K35" t="s">
        <v>28</v>
      </c>
      <c r="L35" t="s">
        <v>44</v>
      </c>
      <c r="M35" t="s">
        <v>118</v>
      </c>
      <c r="N35" s="4">
        <v>99.83</v>
      </c>
      <c r="O35" s="4">
        <f>ApprovedTimeReport_000_202549[[#This Row],[CostRate]]/0.9075</f>
        <v>110.00550964187327</v>
      </c>
      <c r="P35" s="4">
        <f>ApprovedTimeReport_000_202549[[#This Row],[CostRate w/ Taxes]]*ApprovedTimeReport_000_202549[[#This Row],[Time Actual]]</f>
        <v>440.0220385674931</v>
      </c>
      <c r="Q35" t="s">
        <v>24</v>
      </c>
      <c r="R35" s="2" t="str">
        <f>VLOOKUP(A:A,Vlookup!A:B,2,0)</f>
        <v>NB</v>
      </c>
    </row>
    <row r="36" spans="1:18" x14ac:dyDescent="0.3">
      <c r="A36" t="s">
        <v>90</v>
      </c>
      <c r="B36" s="1">
        <v>45764</v>
      </c>
      <c r="C36" s="1">
        <v>45769</v>
      </c>
      <c r="D36" t="s">
        <v>36</v>
      </c>
      <c r="E36">
        <v>2025</v>
      </c>
      <c r="F36">
        <v>4</v>
      </c>
      <c r="G36">
        <v>17</v>
      </c>
      <c r="H36">
        <v>16</v>
      </c>
      <c r="I36">
        <v>5</v>
      </c>
      <c r="J36" t="s">
        <v>27</v>
      </c>
      <c r="K36" t="s">
        <v>28</v>
      </c>
      <c r="L36" t="s">
        <v>44</v>
      </c>
      <c r="M36" t="s">
        <v>108</v>
      </c>
      <c r="N36" s="4">
        <v>99.83</v>
      </c>
      <c r="O36" s="4">
        <f>ApprovedTimeReport_000_202549[[#This Row],[CostRate]]/0.9075</f>
        <v>110.00550964187327</v>
      </c>
      <c r="P36" s="4">
        <f>ApprovedTimeReport_000_202549[[#This Row],[CostRate w/ Taxes]]*ApprovedTimeReport_000_202549[[#This Row],[Time Actual]]</f>
        <v>550.02754820936639</v>
      </c>
      <c r="Q36" t="s">
        <v>24</v>
      </c>
      <c r="R36" s="2" t="str">
        <f>VLOOKUP(A:A,Vlookup!A:B,2,0)</f>
        <v>NB</v>
      </c>
    </row>
    <row r="37" spans="1:18" x14ac:dyDescent="0.3">
      <c r="A37" t="s">
        <v>112</v>
      </c>
      <c r="B37" s="1">
        <v>45750</v>
      </c>
      <c r="C37" s="1">
        <v>45754</v>
      </c>
      <c r="D37" t="s">
        <v>4</v>
      </c>
      <c r="E37">
        <v>2025</v>
      </c>
      <c r="F37">
        <v>4</v>
      </c>
      <c r="G37">
        <v>3</v>
      </c>
      <c r="H37">
        <v>14</v>
      </c>
      <c r="I37">
        <v>1</v>
      </c>
      <c r="J37" t="s">
        <v>27</v>
      </c>
      <c r="K37" t="s">
        <v>28</v>
      </c>
      <c r="L37" t="s">
        <v>23</v>
      </c>
      <c r="M37" t="s">
        <v>146</v>
      </c>
      <c r="N37" s="4">
        <v>99.83</v>
      </c>
      <c r="O37" s="4">
        <f>ApprovedTimeReport_000_202549[[#This Row],[CostRate]]/0.9075</f>
        <v>110.00550964187327</v>
      </c>
      <c r="P37" s="4">
        <f>ApprovedTimeReport_000_202549[[#This Row],[CostRate w/ Taxes]]*ApprovedTimeReport_000_202549[[#This Row],[Time Actual]]</f>
        <v>110.00550964187327</v>
      </c>
      <c r="Q37" t="s">
        <v>24</v>
      </c>
      <c r="R37" s="2" t="str">
        <f>VLOOKUP(A:A,Vlookup!A:B,2,0)</f>
        <v>NB</v>
      </c>
    </row>
    <row r="38" spans="1:18" x14ac:dyDescent="0.3">
      <c r="A38" t="s">
        <v>26</v>
      </c>
      <c r="B38" s="1">
        <v>45769</v>
      </c>
      <c r="C38" s="1">
        <v>45775</v>
      </c>
      <c r="D38" t="s">
        <v>4</v>
      </c>
      <c r="E38">
        <v>2025</v>
      </c>
      <c r="F38">
        <v>4</v>
      </c>
      <c r="G38">
        <v>22</v>
      </c>
      <c r="H38">
        <v>17</v>
      </c>
      <c r="I38">
        <v>5</v>
      </c>
      <c r="J38" t="s">
        <v>27</v>
      </c>
      <c r="K38" t="s">
        <v>28</v>
      </c>
      <c r="L38" t="s">
        <v>23</v>
      </c>
      <c r="M38" t="s">
        <v>107</v>
      </c>
      <c r="N38" s="4">
        <v>99.83</v>
      </c>
      <c r="O38" s="4">
        <f>ApprovedTimeReport_000_202549[[#This Row],[CostRate]]/0.9075</f>
        <v>110.00550964187327</v>
      </c>
      <c r="P38" s="4">
        <f>ApprovedTimeReport_000_202549[[#This Row],[CostRate w/ Taxes]]*ApprovedTimeReport_000_202549[[#This Row],[Time Actual]]</f>
        <v>550.02754820936639</v>
      </c>
      <c r="Q38" t="s">
        <v>24</v>
      </c>
      <c r="R38" s="2" t="s">
        <v>161</v>
      </c>
    </row>
    <row r="39" spans="1:18" x14ac:dyDescent="0.3">
      <c r="A39" t="s">
        <v>26</v>
      </c>
      <c r="B39" s="1">
        <v>45770</v>
      </c>
      <c r="C39" s="1">
        <v>45775</v>
      </c>
      <c r="D39" t="s">
        <v>4</v>
      </c>
      <c r="E39">
        <v>2025</v>
      </c>
      <c r="F39">
        <v>4</v>
      </c>
      <c r="G39">
        <v>23</v>
      </c>
      <c r="H39">
        <v>17</v>
      </c>
      <c r="I39">
        <v>4</v>
      </c>
      <c r="J39" t="s">
        <v>27</v>
      </c>
      <c r="K39" t="s">
        <v>28</v>
      </c>
      <c r="L39" t="s">
        <v>23</v>
      </c>
      <c r="M39" t="s">
        <v>99</v>
      </c>
      <c r="N39" s="4">
        <v>99.83</v>
      </c>
      <c r="O39" s="4">
        <f>ApprovedTimeReport_000_202549[[#This Row],[CostRate]]/0.9075</f>
        <v>110.00550964187327</v>
      </c>
      <c r="P39" s="4">
        <f>ApprovedTimeReport_000_202549[[#This Row],[CostRate w/ Taxes]]*ApprovedTimeReport_000_202549[[#This Row],[Time Actual]]</f>
        <v>440.0220385674931</v>
      </c>
      <c r="Q39" t="s">
        <v>24</v>
      </c>
      <c r="R39" s="2" t="s">
        <v>161</v>
      </c>
    </row>
    <row r="40" spans="1:18" x14ac:dyDescent="0.3">
      <c r="A40" t="s">
        <v>26</v>
      </c>
      <c r="B40" s="1">
        <v>45775</v>
      </c>
      <c r="C40" s="1">
        <v>45782</v>
      </c>
      <c r="D40" t="s">
        <v>4</v>
      </c>
      <c r="E40">
        <v>2025</v>
      </c>
      <c r="F40">
        <v>4</v>
      </c>
      <c r="G40">
        <v>28</v>
      </c>
      <c r="H40">
        <v>18</v>
      </c>
      <c r="I40">
        <v>4</v>
      </c>
      <c r="J40" t="s">
        <v>27</v>
      </c>
      <c r="K40" t="s">
        <v>28</v>
      </c>
      <c r="L40" t="s">
        <v>23</v>
      </c>
      <c r="M40" t="s">
        <v>80</v>
      </c>
      <c r="N40" s="4">
        <v>99.83</v>
      </c>
      <c r="O40" s="4">
        <f>ApprovedTimeReport_000_202549[[#This Row],[CostRate]]/0.9075</f>
        <v>110.00550964187327</v>
      </c>
      <c r="P40" s="4">
        <f>ApprovedTimeReport_000_202549[[#This Row],[CostRate w/ Taxes]]*ApprovedTimeReport_000_202549[[#This Row],[Time Actual]]</f>
        <v>440.0220385674931</v>
      </c>
      <c r="Q40" t="s">
        <v>24</v>
      </c>
      <c r="R40" s="2" t="s">
        <v>161</v>
      </c>
    </row>
    <row r="41" spans="1:18" x14ac:dyDescent="0.3">
      <c r="A41" t="s">
        <v>26</v>
      </c>
      <c r="B41" s="1">
        <v>45776</v>
      </c>
      <c r="C41" s="1">
        <v>45782</v>
      </c>
      <c r="D41" t="s">
        <v>4</v>
      </c>
      <c r="E41">
        <v>2025</v>
      </c>
      <c r="F41">
        <v>4</v>
      </c>
      <c r="G41">
        <v>29</v>
      </c>
      <c r="H41">
        <v>18</v>
      </c>
      <c r="I41">
        <v>3</v>
      </c>
      <c r="J41" t="s">
        <v>27</v>
      </c>
      <c r="K41" t="s">
        <v>28</v>
      </c>
      <c r="L41" t="s">
        <v>23</v>
      </c>
      <c r="M41" t="s">
        <v>77</v>
      </c>
      <c r="N41" s="4">
        <v>99.83</v>
      </c>
      <c r="O41" s="4">
        <f>ApprovedTimeReport_000_202549[[#This Row],[CostRate]]/0.9075</f>
        <v>110.00550964187327</v>
      </c>
      <c r="P41" s="4">
        <f>ApprovedTimeReport_000_202549[[#This Row],[CostRate w/ Taxes]]*ApprovedTimeReport_000_202549[[#This Row],[Time Actual]]</f>
        <v>330.01652892561981</v>
      </c>
      <c r="Q41" t="s">
        <v>24</v>
      </c>
      <c r="R41" s="2" t="s">
        <v>161</v>
      </c>
    </row>
    <row r="42" spans="1:18" x14ac:dyDescent="0.3">
      <c r="A42" t="s">
        <v>26</v>
      </c>
      <c r="B42" s="1">
        <v>45777</v>
      </c>
      <c r="C42" s="1">
        <v>45782</v>
      </c>
      <c r="D42" t="s">
        <v>4</v>
      </c>
      <c r="E42">
        <v>2025</v>
      </c>
      <c r="F42">
        <v>4</v>
      </c>
      <c r="G42">
        <v>30</v>
      </c>
      <c r="H42">
        <v>18</v>
      </c>
      <c r="I42">
        <v>2</v>
      </c>
      <c r="J42" t="s">
        <v>27</v>
      </c>
      <c r="K42" t="s">
        <v>28</v>
      </c>
      <c r="L42" t="s">
        <v>23</v>
      </c>
      <c r="M42" t="s">
        <v>29</v>
      </c>
      <c r="N42" s="4">
        <v>99.83</v>
      </c>
      <c r="O42" s="4">
        <f>ApprovedTimeReport_000_202549[[#This Row],[CostRate]]/0.9075</f>
        <v>110.00550964187327</v>
      </c>
      <c r="P42" s="4">
        <f>ApprovedTimeReport_000_202549[[#This Row],[CostRate w/ Taxes]]*ApprovedTimeReport_000_202549[[#This Row],[Time Actual]]</f>
        <v>220.01101928374655</v>
      </c>
      <c r="Q42" t="s">
        <v>24</v>
      </c>
      <c r="R42" s="2" t="s">
        <v>161</v>
      </c>
    </row>
    <row r="43" spans="1:18" x14ac:dyDescent="0.3">
      <c r="A43" t="s">
        <v>31</v>
      </c>
      <c r="B43" s="1">
        <v>45770</v>
      </c>
      <c r="C43" s="1">
        <v>45775</v>
      </c>
      <c r="D43" t="s">
        <v>4</v>
      </c>
      <c r="E43">
        <v>2025</v>
      </c>
      <c r="F43">
        <v>4</v>
      </c>
      <c r="G43">
        <v>23</v>
      </c>
      <c r="H43">
        <v>17</v>
      </c>
      <c r="I43">
        <v>2</v>
      </c>
      <c r="J43" t="s">
        <v>27</v>
      </c>
      <c r="K43" t="s">
        <v>28</v>
      </c>
      <c r="L43" t="s">
        <v>23</v>
      </c>
      <c r="M43" t="s">
        <v>98</v>
      </c>
      <c r="N43" s="4">
        <v>99.83</v>
      </c>
      <c r="O43" s="4">
        <f>ApprovedTimeReport_000_202549[[#This Row],[CostRate]]/0.9075</f>
        <v>110.00550964187327</v>
      </c>
      <c r="P43" s="4">
        <f>ApprovedTimeReport_000_202549[[#This Row],[CostRate w/ Taxes]]*ApprovedTimeReport_000_202549[[#This Row],[Time Actual]]</f>
        <v>220.01101928374655</v>
      </c>
      <c r="Q43" t="s">
        <v>24</v>
      </c>
      <c r="R43" s="2" t="s">
        <v>161</v>
      </c>
    </row>
    <row r="44" spans="1:18" x14ac:dyDescent="0.3">
      <c r="A44" t="s">
        <v>31</v>
      </c>
      <c r="B44" s="1">
        <v>45772</v>
      </c>
      <c r="C44" s="1">
        <v>45775</v>
      </c>
      <c r="D44" t="s">
        <v>4</v>
      </c>
      <c r="E44">
        <v>2025</v>
      </c>
      <c r="F44">
        <v>4</v>
      </c>
      <c r="G44">
        <v>25</v>
      </c>
      <c r="H44">
        <v>17</v>
      </c>
      <c r="I44">
        <v>2</v>
      </c>
      <c r="J44" t="s">
        <v>27</v>
      </c>
      <c r="K44" t="s">
        <v>28</v>
      </c>
      <c r="L44" t="s">
        <v>23</v>
      </c>
      <c r="M44" t="s">
        <v>88</v>
      </c>
      <c r="N44" s="4">
        <v>99.83</v>
      </c>
      <c r="O44" s="4">
        <f>ApprovedTimeReport_000_202549[[#This Row],[CostRate]]/0.9075</f>
        <v>110.00550964187327</v>
      </c>
      <c r="P44" s="4">
        <f>ApprovedTimeReport_000_202549[[#This Row],[CostRate w/ Taxes]]*ApprovedTimeReport_000_202549[[#This Row],[Time Actual]]</f>
        <v>220.01101928374655</v>
      </c>
      <c r="Q44" t="s">
        <v>24</v>
      </c>
      <c r="R44" s="2" t="s">
        <v>161</v>
      </c>
    </row>
    <row r="45" spans="1:18" x14ac:dyDescent="0.3">
      <c r="A45" t="s">
        <v>31</v>
      </c>
      <c r="B45" s="1">
        <v>45775</v>
      </c>
      <c r="C45" s="1">
        <v>45782</v>
      </c>
      <c r="D45" t="s">
        <v>4</v>
      </c>
      <c r="E45">
        <v>2025</v>
      </c>
      <c r="F45">
        <v>4</v>
      </c>
      <c r="G45">
        <v>28</v>
      </c>
      <c r="H45">
        <v>18</v>
      </c>
      <c r="I45">
        <v>2</v>
      </c>
      <c r="J45" t="s">
        <v>27</v>
      </c>
      <c r="K45" t="s">
        <v>28</v>
      </c>
      <c r="L45" t="s">
        <v>23</v>
      </c>
      <c r="M45" t="s">
        <v>81</v>
      </c>
      <c r="N45" s="4">
        <v>99.83</v>
      </c>
      <c r="O45" s="4">
        <f>ApprovedTimeReport_000_202549[[#This Row],[CostRate]]/0.9075</f>
        <v>110.00550964187327</v>
      </c>
      <c r="P45" s="4">
        <f>ApprovedTimeReport_000_202549[[#This Row],[CostRate w/ Taxes]]*ApprovedTimeReport_000_202549[[#This Row],[Time Actual]]</f>
        <v>220.01101928374655</v>
      </c>
      <c r="Q45" t="s">
        <v>24</v>
      </c>
      <c r="R45" s="2" t="s">
        <v>161</v>
      </c>
    </row>
    <row r="46" spans="1:18" x14ac:dyDescent="0.3">
      <c r="A46" t="s">
        <v>31</v>
      </c>
      <c r="B46" s="1">
        <v>45776</v>
      </c>
      <c r="C46" s="1">
        <v>45782</v>
      </c>
      <c r="D46" t="s">
        <v>4</v>
      </c>
      <c r="E46">
        <v>2025</v>
      </c>
      <c r="F46">
        <v>4</v>
      </c>
      <c r="G46">
        <v>29</v>
      </c>
      <c r="H46">
        <v>18</v>
      </c>
      <c r="I46">
        <v>4</v>
      </c>
      <c r="J46" t="s">
        <v>27</v>
      </c>
      <c r="K46" t="s">
        <v>28</v>
      </c>
      <c r="L46" t="s">
        <v>23</v>
      </c>
      <c r="M46" t="s">
        <v>76</v>
      </c>
      <c r="N46" s="4">
        <v>99.83</v>
      </c>
      <c r="O46" s="4">
        <f>ApprovedTimeReport_000_202549[[#This Row],[CostRate]]/0.9075</f>
        <v>110.00550964187327</v>
      </c>
      <c r="P46" s="4">
        <f>ApprovedTimeReport_000_202549[[#This Row],[CostRate w/ Taxes]]*ApprovedTimeReport_000_202549[[#This Row],[Time Actual]]</f>
        <v>440.0220385674931</v>
      </c>
      <c r="Q46" t="s">
        <v>24</v>
      </c>
      <c r="R46" s="2" t="s">
        <v>161</v>
      </c>
    </row>
    <row r="47" spans="1:18" x14ac:dyDescent="0.3">
      <c r="A47" t="s">
        <v>31</v>
      </c>
      <c r="B47" s="1">
        <v>45777</v>
      </c>
      <c r="C47" s="1">
        <v>45782</v>
      </c>
      <c r="D47" t="s">
        <v>4</v>
      </c>
      <c r="E47">
        <v>2025</v>
      </c>
      <c r="F47">
        <v>4</v>
      </c>
      <c r="G47">
        <v>30</v>
      </c>
      <c r="H47">
        <v>18</v>
      </c>
      <c r="I47">
        <v>3</v>
      </c>
      <c r="J47" t="s">
        <v>27</v>
      </c>
      <c r="K47" t="s">
        <v>28</v>
      </c>
      <c r="L47" t="s">
        <v>23</v>
      </c>
      <c r="M47" t="s">
        <v>46</v>
      </c>
      <c r="N47" s="4">
        <v>99.83</v>
      </c>
      <c r="O47" s="4">
        <f>ApprovedTimeReport_000_202549[[#This Row],[CostRate]]/0.9075</f>
        <v>110.00550964187327</v>
      </c>
      <c r="P47" s="4">
        <f>ApprovedTimeReport_000_202549[[#This Row],[CostRate w/ Taxes]]*ApprovedTimeReport_000_202549[[#This Row],[Time Actual]]</f>
        <v>330.01652892561981</v>
      </c>
      <c r="Q47" t="s">
        <v>24</v>
      </c>
      <c r="R47" s="2" t="s">
        <v>161</v>
      </c>
    </row>
    <row r="48" spans="1:18" x14ac:dyDescent="0.3">
      <c r="A48" t="s">
        <v>38</v>
      </c>
      <c r="B48" s="1">
        <v>45771</v>
      </c>
      <c r="C48" s="1">
        <v>45775</v>
      </c>
      <c r="D48" t="s">
        <v>4</v>
      </c>
      <c r="E48">
        <v>2025</v>
      </c>
      <c r="F48">
        <v>4</v>
      </c>
      <c r="G48">
        <v>24</v>
      </c>
      <c r="H48">
        <v>17</v>
      </c>
      <c r="I48">
        <v>2</v>
      </c>
      <c r="J48" t="s">
        <v>27</v>
      </c>
      <c r="K48" t="s">
        <v>28</v>
      </c>
      <c r="L48" t="s">
        <v>44</v>
      </c>
      <c r="M48" t="s">
        <v>96</v>
      </c>
      <c r="N48" s="4">
        <v>99.83</v>
      </c>
      <c r="O48" s="4">
        <f>ApprovedTimeReport_000_202549[[#This Row],[CostRate]]/0.9075</f>
        <v>110.00550964187327</v>
      </c>
      <c r="P48" s="4">
        <f>ApprovedTimeReport_000_202549[[#This Row],[CostRate w/ Taxes]]*ApprovedTimeReport_000_202549[[#This Row],[Time Actual]]</f>
        <v>220.01101928374655</v>
      </c>
      <c r="Q48" t="s">
        <v>24</v>
      </c>
      <c r="R48" s="2" t="s">
        <v>161</v>
      </c>
    </row>
    <row r="49" spans="1:18" x14ac:dyDescent="0.3">
      <c r="A49" t="s">
        <v>42</v>
      </c>
      <c r="B49" s="1">
        <v>45769</v>
      </c>
      <c r="C49" s="1">
        <v>45775</v>
      </c>
      <c r="D49" t="s">
        <v>4</v>
      </c>
      <c r="E49">
        <v>2025</v>
      </c>
      <c r="F49">
        <v>4</v>
      </c>
      <c r="G49">
        <v>22</v>
      </c>
      <c r="H49">
        <v>17</v>
      </c>
      <c r="I49">
        <v>2</v>
      </c>
      <c r="J49" t="s">
        <v>27</v>
      </c>
      <c r="K49" t="s">
        <v>28</v>
      </c>
      <c r="L49" t="s">
        <v>23</v>
      </c>
      <c r="M49" t="s">
        <v>106</v>
      </c>
      <c r="N49" s="4">
        <v>99.83</v>
      </c>
      <c r="O49" s="4">
        <f>ApprovedTimeReport_000_202549[[#This Row],[CostRate]]/0.9075</f>
        <v>110.00550964187327</v>
      </c>
      <c r="P49" s="4">
        <f>ApprovedTimeReport_000_202549[[#This Row],[CostRate w/ Taxes]]*ApprovedTimeReport_000_202549[[#This Row],[Time Actual]]</f>
        <v>220.01101928374655</v>
      </c>
      <c r="Q49" t="s">
        <v>24</v>
      </c>
      <c r="R49" s="2" t="s">
        <v>161</v>
      </c>
    </row>
    <row r="50" spans="1:18" x14ac:dyDescent="0.3">
      <c r="A50" t="s">
        <v>42</v>
      </c>
      <c r="B50" s="1">
        <v>45770</v>
      </c>
      <c r="C50" s="1">
        <v>45775</v>
      </c>
      <c r="D50" t="s">
        <v>4</v>
      </c>
      <c r="E50">
        <v>2025</v>
      </c>
      <c r="F50">
        <v>4</v>
      </c>
      <c r="G50">
        <v>23</v>
      </c>
      <c r="H50">
        <v>17</v>
      </c>
      <c r="I50">
        <v>1</v>
      </c>
      <c r="J50" t="s">
        <v>27</v>
      </c>
      <c r="K50" t="s">
        <v>28</v>
      </c>
      <c r="L50" t="s">
        <v>23</v>
      </c>
      <c r="M50" t="s">
        <v>100</v>
      </c>
      <c r="N50" s="4">
        <v>99.83</v>
      </c>
      <c r="O50" s="4">
        <f>ApprovedTimeReport_000_202549[[#This Row],[CostRate]]/0.9075</f>
        <v>110.00550964187327</v>
      </c>
      <c r="P50" s="4">
        <f>ApprovedTimeReport_000_202549[[#This Row],[CostRate w/ Taxes]]*ApprovedTimeReport_000_202549[[#This Row],[Time Actual]]</f>
        <v>110.00550964187327</v>
      </c>
      <c r="Q50" t="s">
        <v>24</v>
      </c>
      <c r="R50" s="2" t="s">
        <v>161</v>
      </c>
    </row>
    <row r="51" spans="1:18" x14ac:dyDescent="0.3">
      <c r="A51" t="s">
        <v>42</v>
      </c>
      <c r="B51" s="1">
        <v>45771</v>
      </c>
      <c r="C51" s="1">
        <v>45775</v>
      </c>
      <c r="D51" t="s">
        <v>4</v>
      </c>
      <c r="E51">
        <v>2025</v>
      </c>
      <c r="F51">
        <v>4</v>
      </c>
      <c r="G51">
        <v>24</v>
      </c>
      <c r="H51">
        <v>17</v>
      </c>
      <c r="I51">
        <v>5</v>
      </c>
      <c r="J51" t="s">
        <v>27</v>
      </c>
      <c r="K51" t="s">
        <v>28</v>
      </c>
      <c r="L51" t="s">
        <v>23</v>
      </c>
      <c r="M51" t="s">
        <v>97</v>
      </c>
      <c r="N51" s="4">
        <v>99.83</v>
      </c>
      <c r="O51" s="4">
        <f>ApprovedTimeReport_000_202549[[#This Row],[CostRate]]/0.9075</f>
        <v>110.00550964187327</v>
      </c>
      <c r="P51" s="4">
        <f>ApprovedTimeReport_000_202549[[#This Row],[CostRate w/ Taxes]]*ApprovedTimeReport_000_202549[[#This Row],[Time Actual]]</f>
        <v>550.02754820936639</v>
      </c>
      <c r="Q51" t="s">
        <v>24</v>
      </c>
      <c r="R51" s="2" t="s">
        <v>161</v>
      </c>
    </row>
    <row r="52" spans="1:18" x14ac:dyDescent="0.3">
      <c r="A52" t="s">
        <v>42</v>
      </c>
      <c r="B52" s="1">
        <v>45772</v>
      </c>
      <c r="C52" s="1">
        <v>45775</v>
      </c>
      <c r="D52" t="s">
        <v>4</v>
      </c>
      <c r="E52">
        <v>2025</v>
      </c>
      <c r="F52">
        <v>4</v>
      </c>
      <c r="G52">
        <v>25</v>
      </c>
      <c r="H52">
        <v>17</v>
      </c>
      <c r="I52">
        <v>5</v>
      </c>
      <c r="J52" t="s">
        <v>27</v>
      </c>
      <c r="K52" t="s">
        <v>28</v>
      </c>
      <c r="L52" t="s">
        <v>23</v>
      </c>
      <c r="M52" t="s">
        <v>89</v>
      </c>
      <c r="N52" s="4">
        <v>99.83</v>
      </c>
      <c r="O52" s="4">
        <f>ApprovedTimeReport_000_202549[[#This Row],[CostRate]]/0.9075</f>
        <v>110.00550964187327</v>
      </c>
      <c r="P52" s="4">
        <f>ApprovedTimeReport_000_202549[[#This Row],[CostRate w/ Taxes]]*ApprovedTimeReport_000_202549[[#This Row],[Time Actual]]</f>
        <v>550.02754820936639</v>
      </c>
      <c r="Q52" t="s">
        <v>24</v>
      </c>
      <c r="R52" s="2" t="s">
        <v>161</v>
      </c>
    </row>
    <row r="53" spans="1:18" x14ac:dyDescent="0.3">
      <c r="A53" t="s">
        <v>42</v>
      </c>
      <c r="B53" s="1">
        <v>45775</v>
      </c>
      <c r="C53" s="1">
        <v>45782</v>
      </c>
      <c r="D53" t="s">
        <v>4</v>
      </c>
      <c r="E53">
        <v>2025</v>
      </c>
      <c r="F53">
        <v>4</v>
      </c>
      <c r="G53">
        <v>28</v>
      </c>
      <c r="H53">
        <v>18</v>
      </c>
      <c r="I53">
        <v>3</v>
      </c>
      <c r="J53" t="s">
        <v>27</v>
      </c>
      <c r="K53" t="s">
        <v>28</v>
      </c>
      <c r="L53" t="s">
        <v>23</v>
      </c>
      <c r="M53" t="s">
        <v>84</v>
      </c>
      <c r="N53" s="4">
        <v>99.83</v>
      </c>
      <c r="O53" s="4">
        <f>ApprovedTimeReport_000_202549[[#This Row],[CostRate]]/0.9075</f>
        <v>110.00550964187327</v>
      </c>
      <c r="P53" s="4">
        <f>ApprovedTimeReport_000_202549[[#This Row],[CostRate w/ Taxes]]*ApprovedTimeReport_000_202549[[#This Row],[Time Actual]]</f>
        <v>330.01652892561981</v>
      </c>
      <c r="Q53" t="s">
        <v>24</v>
      </c>
      <c r="R53" s="2" t="s">
        <v>161</v>
      </c>
    </row>
    <row r="54" spans="1:18" x14ac:dyDescent="0.3">
      <c r="A54" t="s">
        <v>42</v>
      </c>
      <c r="B54" s="1">
        <v>45776</v>
      </c>
      <c r="C54" s="1">
        <v>45782</v>
      </c>
      <c r="D54" t="s">
        <v>4</v>
      </c>
      <c r="E54">
        <v>2025</v>
      </c>
      <c r="F54">
        <v>4</v>
      </c>
      <c r="G54">
        <v>29</v>
      </c>
      <c r="H54">
        <v>18</v>
      </c>
      <c r="I54">
        <v>1</v>
      </c>
      <c r="J54" t="s">
        <v>27</v>
      </c>
      <c r="K54" t="s">
        <v>28</v>
      </c>
      <c r="L54" t="s">
        <v>23</v>
      </c>
      <c r="M54" t="s">
        <v>75</v>
      </c>
      <c r="N54" s="4">
        <v>99.83</v>
      </c>
      <c r="O54" s="4">
        <f>ApprovedTimeReport_000_202549[[#This Row],[CostRate]]/0.9075</f>
        <v>110.00550964187327</v>
      </c>
      <c r="P54" s="4">
        <f>ApprovedTimeReport_000_202549[[#This Row],[CostRate w/ Taxes]]*ApprovedTimeReport_000_202549[[#This Row],[Time Actual]]</f>
        <v>110.00550964187327</v>
      </c>
      <c r="Q54" t="s">
        <v>24</v>
      </c>
      <c r="R54" s="2" t="s">
        <v>161</v>
      </c>
    </row>
    <row r="55" spans="1:18" x14ac:dyDescent="0.3">
      <c r="A55" t="s">
        <v>42</v>
      </c>
      <c r="B55" s="1">
        <v>45777</v>
      </c>
      <c r="C55" s="1">
        <v>45782</v>
      </c>
      <c r="D55" t="s">
        <v>4</v>
      </c>
      <c r="E55">
        <v>2025</v>
      </c>
      <c r="F55">
        <v>4</v>
      </c>
      <c r="G55">
        <v>30</v>
      </c>
      <c r="H55">
        <v>18</v>
      </c>
      <c r="I55">
        <v>2</v>
      </c>
      <c r="J55" t="s">
        <v>27</v>
      </c>
      <c r="K55" t="s">
        <v>28</v>
      </c>
      <c r="L55" t="s">
        <v>23</v>
      </c>
      <c r="M55" t="s">
        <v>43</v>
      </c>
      <c r="N55" s="4">
        <v>99.83</v>
      </c>
      <c r="O55" s="4">
        <f>ApprovedTimeReport_000_202549[[#This Row],[CostRate]]/0.9075</f>
        <v>110.00550964187327</v>
      </c>
      <c r="P55" s="4">
        <f>ApprovedTimeReport_000_202549[[#This Row],[CostRate w/ Taxes]]*ApprovedTimeReport_000_202549[[#This Row],[Time Actual]]</f>
        <v>220.01101928374655</v>
      </c>
      <c r="Q55" t="s">
        <v>24</v>
      </c>
      <c r="R55" s="2" t="s">
        <v>161</v>
      </c>
    </row>
    <row r="56" spans="1:18" x14ac:dyDescent="0.3">
      <c r="A56" t="s">
        <v>47</v>
      </c>
      <c r="B56" s="1">
        <v>45761</v>
      </c>
      <c r="C56" s="1">
        <v>45769</v>
      </c>
      <c r="D56" t="s">
        <v>4</v>
      </c>
      <c r="E56">
        <v>2025</v>
      </c>
      <c r="F56">
        <v>4</v>
      </c>
      <c r="G56">
        <v>14</v>
      </c>
      <c r="H56">
        <v>16</v>
      </c>
      <c r="I56">
        <v>2</v>
      </c>
      <c r="J56" t="s">
        <v>27</v>
      </c>
      <c r="K56" t="s">
        <v>28</v>
      </c>
      <c r="L56" t="s">
        <v>23</v>
      </c>
      <c r="M56" t="s">
        <v>123</v>
      </c>
      <c r="N56" s="4">
        <v>157</v>
      </c>
      <c r="O56" s="4">
        <f>ApprovedTimeReport_000_202549[[#This Row],[CostRate]]/0.9075</f>
        <v>173.00275482093664</v>
      </c>
      <c r="P56" s="4">
        <f>ApprovedTimeReport_000_202549[[#This Row],[CostRate w/ Taxes]]*ApprovedTimeReport_000_202549[[#This Row],[Time Actual]]</f>
        <v>346.00550964187329</v>
      </c>
      <c r="Q56" t="s">
        <v>48</v>
      </c>
      <c r="R56" s="2" t="str">
        <f>VLOOKUP(A:A,Vlookup!A:B,2,0)</f>
        <v>FF</v>
      </c>
    </row>
    <row r="57" spans="1:18" x14ac:dyDescent="0.3">
      <c r="A57" t="s">
        <v>47</v>
      </c>
      <c r="B57" s="1">
        <v>45770</v>
      </c>
      <c r="C57" s="1">
        <v>45775</v>
      </c>
      <c r="D57" t="s">
        <v>4</v>
      </c>
      <c r="E57">
        <v>2025</v>
      </c>
      <c r="F57">
        <v>4</v>
      </c>
      <c r="G57">
        <v>23</v>
      </c>
      <c r="H57">
        <v>17</v>
      </c>
      <c r="I57">
        <v>2</v>
      </c>
      <c r="J57" t="s">
        <v>27</v>
      </c>
      <c r="K57" t="s">
        <v>28</v>
      </c>
      <c r="L57" t="s">
        <v>23</v>
      </c>
      <c r="M57" t="s">
        <v>102</v>
      </c>
      <c r="N57" s="4">
        <v>157</v>
      </c>
      <c r="O57" s="4">
        <f>ApprovedTimeReport_000_202549[[#This Row],[CostRate]]/0.9075</f>
        <v>173.00275482093664</v>
      </c>
      <c r="P57" s="4">
        <f>ApprovedTimeReport_000_202549[[#This Row],[CostRate w/ Taxes]]*ApprovedTimeReport_000_202549[[#This Row],[Time Actual]]</f>
        <v>346.00550964187329</v>
      </c>
      <c r="Q57" t="s">
        <v>48</v>
      </c>
      <c r="R57" s="2" t="str">
        <f>VLOOKUP(A:A,Vlookup!A:B,2,0)</f>
        <v>FF</v>
      </c>
    </row>
    <row r="58" spans="1:18" x14ac:dyDescent="0.3">
      <c r="A58" t="s">
        <v>47</v>
      </c>
      <c r="B58" s="1">
        <v>45772</v>
      </c>
      <c r="C58" s="1">
        <v>45775</v>
      </c>
      <c r="D58" t="s">
        <v>4</v>
      </c>
      <c r="E58">
        <v>2025</v>
      </c>
      <c r="F58">
        <v>4</v>
      </c>
      <c r="G58">
        <v>25</v>
      </c>
      <c r="H58">
        <v>17</v>
      </c>
      <c r="I58">
        <v>1</v>
      </c>
      <c r="J58" t="s">
        <v>27</v>
      </c>
      <c r="K58" t="s">
        <v>28</v>
      </c>
      <c r="L58" t="s">
        <v>23</v>
      </c>
      <c r="M58" t="s">
        <v>92</v>
      </c>
      <c r="N58" s="4">
        <v>157</v>
      </c>
      <c r="O58" s="4">
        <f>ApprovedTimeReport_000_202549[[#This Row],[CostRate]]/0.9075</f>
        <v>173.00275482093664</v>
      </c>
      <c r="P58" s="4">
        <f>ApprovedTimeReport_000_202549[[#This Row],[CostRate w/ Taxes]]*ApprovedTimeReport_000_202549[[#This Row],[Time Actual]]</f>
        <v>173.00275482093664</v>
      </c>
      <c r="Q58" t="s">
        <v>48</v>
      </c>
      <c r="R58" s="2" t="str">
        <f>VLOOKUP(A:A,Vlookup!A:B,2,0)</f>
        <v>FF</v>
      </c>
    </row>
    <row r="59" spans="1:18" x14ac:dyDescent="0.3">
      <c r="B59" s="1"/>
      <c r="C59" s="1"/>
      <c r="R59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9E00-623A-4239-8AB5-9698F4938C7C}">
  <dimension ref="A1:B156"/>
  <sheetViews>
    <sheetView topLeftCell="A124" workbookViewId="0">
      <selection activeCell="E133" sqref="E133"/>
    </sheetView>
  </sheetViews>
  <sheetFormatPr defaultRowHeight="14.4" x14ac:dyDescent="0.3"/>
  <cols>
    <col min="1" max="1" width="22.33203125" bestFit="1" customWidth="1"/>
    <col min="2" max="2" width="11.109375" bestFit="1" customWidth="1"/>
  </cols>
  <sheetData>
    <row r="1" spans="1:2" x14ac:dyDescent="0.3">
      <c r="A1" t="s">
        <v>0</v>
      </c>
      <c r="B1" t="s">
        <v>154</v>
      </c>
    </row>
    <row r="2" spans="1:2" x14ac:dyDescent="0.3">
      <c r="A2" t="s">
        <v>155</v>
      </c>
      <c r="B2" t="s">
        <v>156</v>
      </c>
    </row>
    <row r="3" spans="1:2" x14ac:dyDescent="0.3">
      <c r="A3" t="s">
        <v>157</v>
      </c>
      <c r="B3" t="s">
        <v>156</v>
      </c>
    </row>
    <row r="4" spans="1:2" x14ac:dyDescent="0.3">
      <c r="A4" t="s">
        <v>158</v>
      </c>
      <c r="B4" t="s">
        <v>156</v>
      </c>
    </row>
    <row r="5" spans="1:2" x14ac:dyDescent="0.3">
      <c r="A5" t="s">
        <v>159</v>
      </c>
      <c r="B5" t="s">
        <v>156</v>
      </c>
    </row>
    <row r="6" spans="1:2" x14ac:dyDescent="0.3">
      <c r="A6" t="s">
        <v>160</v>
      </c>
      <c r="B6" t="s">
        <v>161</v>
      </c>
    </row>
    <row r="7" spans="1:2" x14ac:dyDescent="0.3">
      <c r="A7" t="s">
        <v>162</v>
      </c>
      <c r="B7" t="s">
        <v>156</v>
      </c>
    </row>
    <row r="8" spans="1:2" x14ac:dyDescent="0.3">
      <c r="A8" t="s">
        <v>163</v>
      </c>
      <c r="B8" t="s">
        <v>156</v>
      </c>
    </row>
    <row r="9" spans="1:2" x14ac:dyDescent="0.3">
      <c r="A9" t="s">
        <v>164</v>
      </c>
      <c r="B9" t="s">
        <v>156</v>
      </c>
    </row>
    <row r="10" spans="1:2" x14ac:dyDescent="0.3">
      <c r="A10" t="s">
        <v>78</v>
      </c>
      <c r="B10" t="s">
        <v>165</v>
      </c>
    </row>
    <row r="11" spans="1:2" x14ac:dyDescent="0.3">
      <c r="A11" t="s">
        <v>166</v>
      </c>
      <c r="B11" t="s">
        <v>165</v>
      </c>
    </row>
    <row r="12" spans="1:2" x14ac:dyDescent="0.3">
      <c r="A12" t="s">
        <v>30</v>
      </c>
      <c r="B12" t="s">
        <v>165</v>
      </c>
    </row>
    <row r="13" spans="1:2" x14ac:dyDescent="0.3">
      <c r="A13" t="s">
        <v>167</v>
      </c>
      <c r="B13" t="s">
        <v>156</v>
      </c>
    </row>
    <row r="14" spans="1:2" x14ac:dyDescent="0.3">
      <c r="A14" t="s">
        <v>168</v>
      </c>
      <c r="B14" t="s">
        <v>156</v>
      </c>
    </row>
    <row r="15" spans="1:2" x14ac:dyDescent="0.3">
      <c r="A15" t="s">
        <v>169</v>
      </c>
      <c r="B15" t="s">
        <v>156</v>
      </c>
    </row>
    <row r="16" spans="1:2" x14ac:dyDescent="0.3">
      <c r="A16" t="s">
        <v>170</v>
      </c>
      <c r="B16" t="s">
        <v>165</v>
      </c>
    </row>
    <row r="17" spans="1:2" x14ac:dyDescent="0.3">
      <c r="A17" t="s">
        <v>171</v>
      </c>
      <c r="B17" t="s">
        <v>156</v>
      </c>
    </row>
    <row r="18" spans="1:2" x14ac:dyDescent="0.3">
      <c r="A18" t="s">
        <v>172</v>
      </c>
      <c r="B18" t="s">
        <v>156</v>
      </c>
    </row>
    <row r="19" spans="1:2" x14ac:dyDescent="0.3">
      <c r="A19" t="s">
        <v>173</v>
      </c>
      <c r="B19" t="s">
        <v>156</v>
      </c>
    </row>
    <row r="20" spans="1:2" x14ac:dyDescent="0.3">
      <c r="A20" t="s">
        <v>174</v>
      </c>
      <c r="B20" t="s">
        <v>165</v>
      </c>
    </row>
    <row r="21" spans="1:2" x14ac:dyDescent="0.3">
      <c r="A21" t="s">
        <v>175</v>
      </c>
      <c r="B21" t="s">
        <v>156</v>
      </c>
    </row>
    <row r="22" spans="1:2" x14ac:dyDescent="0.3">
      <c r="A22" t="s">
        <v>176</v>
      </c>
      <c r="B22" t="s">
        <v>165</v>
      </c>
    </row>
    <row r="23" spans="1:2" x14ac:dyDescent="0.3">
      <c r="A23" t="s">
        <v>177</v>
      </c>
      <c r="B23" t="s">
        <v>165</v>
      </c>
    </row>
    <row r="24" spans="1:2" x14ac:dyDescent="0.3">
      <c r="A24" t="s">
        <v>178</v>
      </c>
      <c r="B24" t="s">
        <v>165</v>
      </c>
    </row>
    <row r="25" spans="1:2" x14ac:dyDescent="0.3">
      <c r="A25" t="s">
        <v>179</v>
      </c>
      <c r="B25" t="s">
        <v>156</v>
      </c>
    </row>
    <row r="26" spans="1:2" x14ac:dyDescent="0.3">
      <c r="A26" t="s">
        <v>180</v>
      </c>
      <c r="B26" t="s">
        <v>165</v>
      </c>
    </row>
    <row r="27" spans="1:2" x14ac:dyDescent="0.3">
      <c r="A27" t="s">
        <v>181</v>
      </c>
      <c r="B27" t="s">
        <v>156</v>
      </c>
    </row>
    <row r="28" spans="1:2" x14ac:dyDescent="0.3">
      <c r="A28" t="s">
        <v>35</v>
      </c>
      <c r="B28" t="s">
        <v>165</v>
      </c>
    </row>
    <row r="29" spans="1:2" x14ac:dyDescent="0.3">
      <c r="A29" t="s">
        <v>68</v>
      </c>
      <c r="B29" t="s">
        <v>165</v>
      </c>
    </row>
    <row r="30" spans="1:2" x14ac:dyDescent="0.3">
      <c r="A30" t="s">
        <v>182</v>
      </c>
      <c r="B30" t="s">
        <v>156</v>
      </c>
    </row>
    <row r="31" spans="1:2" x14ac:dyDescent="0.3">
      <c r="A31" t="s">
        <v>183</v>
      </c>
      <c r="B31" t="s">
        <v>165</v>
      </c>
    </row>
    <row r="32" spans="1:2" x14ac:dyDescent="0.3">
      <c r="A32" t="s">
        <v>184</v>
      </c>
      <c r="B32" t="s">
        <v>165</v>
      </c>
    </row>
    <row r="33" spans="1:2" x14ac:dyDescent="0.3">
      <c r="A33" t="s">
        <v>185</v>
      </c>
      <c r="B33" t="s">
        <v>165</v>
      </c>
    </row>
    <row r="34" spans="1:2" x14ac:dyDescent="0.3">
      <c r="A34" t="s">
        <v>186</v>
      </c>
      <c r="B34" t="s">
        <v>156</v>
      </c>
    </row>
    <row r="35" spans="1:2" x14ac:dyDescent="0.3">
      <c r="A35" t="s">
        <v>187</v>
      </c>
      <c r="B35" t="s">
        <v>165</v>
      </c>
    </row>
    <row r="36" spans="1:2" x14ac:dyDescent="0.3">
      <c r="A36" t="s">
        <v>188</v>
      </c>
      <c r="B36" t="s">
        <v>165</v>
      </c>
    </row>
    <row r="37" spans="1:2" x14ac:dyDescent="0.3">
      <c r="A37" t="s">
        <v>110</v>
      </c>
      <c r="B37" t="s">
        <v>161</v>
      </c>
    </row>
    <row r="38" spans="1:2" x14ac:dyDescent="0.3">
      <c r="A38" t="s">
        <v>189</v>
      </c>
      <c r="B38" t="s">
        <v>161</v>
      </c>
    </row>
    <row r="39" spans="1:2" x14ac:dyDescent="0.3">
      <c r="A39" t="s">
        <v>90</v>
      </c>
      <c r="B39" t="s">
        <v>161</v>
      </c>
    </row>
    <row r="40" spans="1:2" x14ac:dyDescent="0.3">
      <c r="A40" t="s">
        <v>5</v>
      </c>
      <c r="B40" t="s">
        <v>161</v>
      </c>
    </row>
    <row r="41" spans="1:2" x14ac:dyDescent="0.3">
      <c r="A41" t="s">
        <v>41</v>
      </c>
      <c r="B41" t="s">
        <v>161</v>
      </c>
    </row>
    <row r="42" spans="1:2" x14ac:dyDescent="0.3">
      <c r="A42" t="s">
        <v>190</v>
      </c>
      <c r="B42" t="s">
        <v>161</v>
      </c>
    </row>
    <row r="43" spans="1:2" x14ac:dyDescent="0.3">
      <c r="A43" t="s">
        <v>7</v>
      </c>
      <c r="B43" t="s">
        <v>161</v>
      </c>
    </row>
    <row r="44" spans="1:2" x14ac:dyDescent="0.3">
      <c r="A44" t="s">
        <v>191</v>
      </c>
      <c r="B44" t="s">
        <v>161</v>
      </c>
    </row>
    <row r="45" spans="1:2" x14ac:dyDescent="0.3">
      <c r="A45" t="s">
        <v>37</v>
      </c>
      <c r="B45" t="s">
        <v>161</v>
      </c>
    </row>
    <row r="46" spans="1:2" x14ac:dyDescent="0.3">
      <c r="A46" t="s">
        <v>117</v>
      </c>
      <c r="B46" t="s">
        <v>161</v>
      </c>
    </row>
    <row r="47" spans="1:2" x14ac:dyDescent="0.3">
      <c r="A47" t="s">
        <v>101</v>
      </c>
      <c r="B47" t="s">
        <v>161</v>
      </c>
    </row>
    <row r="48" spans="1:2" x14ac:dyDescent="0.3">
      <c r="A48" t="s">
        <v>45</v>
      </c>
      <c r="B48" t="s">
        <v>161</v>
      </c>
    </row>
    <row r="49" spans="1:2" x14ac:dyDescent="0.3">
      <c r="A49" t="s">
        <v>66</v>
      </c>
      <c r="B49" t="s">
        <v>161</v>
      </c>
    </row>
    <row r="50" spans="1:2" x14ac:dyDescent="0.3">
      <c r="A50" t="s">
        <v>67</v>
      </c>
      <c r="B50" t="s">
        <v>161</v>
      </c>
    </row>
    <row r="51" spans="1:2" x14ac:dyDescent="0.3">
      <c r="A51" t="s">
        <v>69</v>
      </c>
      <c r="B51" t="s">
        <v>161</v>
      </c>
    </row>
    <row r="52" spans="1:2" x14ac:dyDescent="0.3">
      <c r="A52" t="s">
        <v>192</v>
      </c>
      <c r="B52" t="s">
        <v>156</v>
      </c>
    </row>
    <row r="53" spans="1:2" x14ac:dyDescent="0.3">
      <c r="A53" t="s">
        <v>193</v>
      </c>
      <c r="B53" t="s">
        <v>165</v>
      </c>
    </row>
    <row r="54" spans="1:2" x14ac:dyDescent="0.3">
      <c r="A54" t="s">
        <v>194</v>
      </c>
      <c r="B54" t="s">
        <v>156</v>
      </c>
    </row>
    <row r="55" spans="1:2" x14ac:dyDescent="0.3">
      <c r="A55" t="s">
        <v>195</v>
      </c>
      <c r="B55" t="s">
        <v>165</v>
      </c>
    </row>
    <row r="56" spans="1:2" x14ac:dyDescent="0.3">
      <c r="A56" t="s">
        <v>196</v>
      </c>
      <c r="B56" t="s">
        <v>156</v>
      </c>
    </row>
    <row r="57" spans="1:2" x14ac:dyDescent="0.3">
      <c r="A57" t="s">
        <v>197</v>
      </c>
      <c r="B57" t="s">
        <v>165</v>
      </c>
    </row>
    <row r="58" spans="1:2" x14ac:dyDescent="0.3">
      <c r="A58" t="s">
        <v>33</v>
      </c>
      <c r="B58" t="s">
        <v>165</v>
      </c>
    </row>
    <row r="59" spans="1:2" x14ac:dyDescent="0.3">
      <c r="A59" t="s">
        <v>198</v>
      </c>
      <c r="B59" t="s">
        <v>165</v>
      </c>
    </row>
    <row r="60" spans="1:2" x14ac:dyDescent="0.3">
      <c r="A60" t="s">
        <v>199</v>
      </c>
      <c r="B60" t="s">
        <v>165</v>
      </c>
    </row>
    <row r="61" spans="1:2" x14ac:dyDescent="0.3">
      <c r="A61" t="s">
        <v>200</v>
      </c>
      <c r="B61" t="s">
        <v>165</v>
      </c>
    </row>
    <row r="62" spans="1:2" x14ac:dyDescent="0.3">
      <c r="A62" t="s">
        <v>201</v>
      </c>
      <c r="B62" t="s">
        <v>161</v>
      </c>
    </row>
    <row r="63" spans="1:2" x14ac:dyDescent="0.3">
      <c r="A63" t="s">
        <v>141</v>
      </c>
      <c r="B63" t="s">
        <v>161</v>
      </c>
    </row>
    <row r="64" spans="1:2" x14ac:dyDescent="0.3">
      <c r="A64" t="s">
        <v>112</v>
      </c>
      <c r="B64" t="s">
        <v>161</v>
      </c>
    </row>
    <row r="65" spans="1:2" x14ac:dyDescent="0.3">
      <c r="A65" t="s">
        <v>202</v>
      </c>
      <c r="B65" t="s">
        <v>161</v>
      </c>
    </row>
    <row r="66" spans="1:2" x14ac:dyDescent="0.3">
      <c r="A66" t="s">
        <v>133</v>
      </c>
      <c r="B66" t="s">
        <v>161</v>
      </c>
    </row>
    <row r="67" spans="1:2" x14ac:dyDescent="0.3">
      <c r="A67" t="s">
        <v>203</v>
      </c>
      <c r="B67" t="s">
        <v>165</v>
      </c>
    </row>
    <row r="68" spans="1:2" x14ac:dyDescent="0.3">
      <c r="A68" t="s">
        <v>25</v>
      </c>
      <c r="B68" t="s">
        <v>165</v>
      </c>
    </row>
    <row r="69" spans="1:2" x14ac:dyDescent="0.3">
      <c r="A69" t="s">
        <v>57</v>
      </c>
      <c r="B69" t="s">
        <v>156</v>
      </c>
    </row>
    <row r="70" spans="1:2" x14ac:dyDescent="0.3">
      <c r="A70" t="s">
        <v>60</v>
      </c>
      <c r="B70" t="s">
        <v>156</v>
      </c>
    </row>
    <row r="71" spans="1:2" x14ac:dyDescent="0.3">
      <c r="A71" t="s">
        <v>204</v>
      </c>
      <c r="B71" t="s">
        <v>165</v>
      </c>
    </row>
    <row r="72" spans="1:2" x14ac:dyDescent="0.3">
      <c r="A72" t="s">
        <v>205</v>
      </c>
      <c r="B72" t="s">
        <v>165</v>
      </c>
    </row>
    <row r="73" spans="1:2" x14ac:dyDescent="0.3">
      <c r="A73" t="s">
        <v>206</v>
      </c>
      <c r="B73" t="s">
        <v>165</v>
      </c>
    </row>
    <row r="74" spans="1:2" x14ac:dyDescent="0.3">
      <c r="A74" t="s">
        <v>207</v>
      </c>
      <c r="B74" t="s">
        <v>165</v>
      </c>
    </row>
    <row r="75" spans="1:2" x14ac:dyDescent="0.3">
      <c r="A75" t="s">
        <v>208</v>
      </c>
      <c r="B75" t="s">
        <v>165</v>
      </c>
    </row>
    <row r="76" spans="1:2" x14ac:dyDescent="0.3">
      <c r="A76" t="s">
        <v>209</v>
      </c>
      <c r="B76" t="s">
        <v>165</v>
      </c>
    </row>
    <row r="77" spans="1:2" x14ac:dyDescent="0.3">
      <c r="A77" t="s">
        <v>138</v>
      </c>
      <c r="B77" t="s">
        <v>161</v>
      </c>
    </row>
    <row r="78" spans="1:2" x14ac:dyDescent="0.3">
      <c r="A78" t="s">
        <v>39</v>
      </c>
      <c r="B78" t="s">
        <v>156</v>
      </c>
    </row>
    <row r="79" spans="1:2" x14ac:dyDescent="0.3">
      <c r="A79" t="s">
        <v>210</v>
      </c>
      <c r="B79" t="s">
        <v>165</v>
      </c>
    </row>
    <row r="80" spans="1:2" x14ac:dyDescent="0.3">
      <c r="A80" t="s">
        <v>211</v>
      </c>
      <c r="B80" t="s">
        <v>165</v>
      </c>
    </row>
    <row r="81" spans="1:2" x14ac:dyDescent="0.3">
      <c r="A81" t="s">
        <v>212</v>
      </c>
      <c r="B81" t="s">
        <v>156</v>
      </c>
    </row>
    <row r="82" spans="1:2" x14ac:dyDescent="0.3">
      <c r="A82" t="s">
        <v>124</v>
      </c>
      <c r="B82" t="s">
        <v>156</v>
      </c>
    </row>
    <row r="83" spans="1:2" x14ac:dyDescent="0.3">
      <c r="A83" t="s">
        <v>213</v>
      </c>
      <c r="B83" t="s">
        <v>165</v>
      </c>
    </row>
    <row r="84" spans="1:2" x14ac:dyDescent="0.3">
      <c r="A84" t="s">
        <v>214</v>
      </c>
      <c r="B84" t="s">
        <v>161</v>
      </c>
    </row>
    <row r="85" spans="1:2" x14ac:dyDescent="0.3">
      <c r="A85" t="s">
        <v>87</v>
      </c>
      <c r="B85" t="s">
        <v>161</v>
      </c>
    </row>
    <row r="86" spans="1:2" x14ac:dyDescent="0.3">
      <c r="A86" t="s">
        <v>65</v>
      </c>
      <c r="B86" t="s">
        <v>161</v>
      </c>
    </row>
    <row r="87" spans="1:2" x14ac:dyDescent="0.3">
      <c r="A87" t="s">
        <v>105</v>
      </c>
      <c r="B87" t="s">
        <v>165</v>
      </c>
    </row>
    <row r="88" spans="1:2" x14ac:dyDescent="0.3">
      <c r="A88" t="s">
        <v>215</v>
      </c>
      <c r="B88" t="s">
        <v>165</v>
      </c>
    </row>
    <row r="89" spans="1:2" x14ac:dyDescent="0.3">
      <c r="A89" t="s">
        <v>216</v>
      </c>
      <c r="B89" t="s">
        <v>156</v>
      </c>
    </row>
    <row r="90" spans="1:2" x14ac:dyDescent="0.3">
      <c r="A90" t="s">
        <v>71</v>
      </c>
      <c r="B90" t="s">
        <v>156</v>
      </c>
    </row>
    <row r="91" spans="1:2" x14ac:dyDescent="0.3">
      <c r="A91" t="s">
        <v>61</v>
      </c>
      <c r="B91" t="s">
        <v>156</v>
      </c>
    </row>
    <row r="92" spans="1:2" x14ac:dyDescent="0.3">
      <c r="A92" t="s">
        <v>217</v>
      </c>
      <c r="B92" t="s">
        <v>161</v>
      </c>
    </row>
    <row r="93" spans="1:2" x14ac:dyDescent="0.3">
      <c r="A93" t="s">
        <v>130</v>
      </c>
      <c r="B93" t="s">
        <v>161</v>
      </c>
    </row>
    <row r="94" spans="1:2" x14ac:dyDescent="0.3">
      <c r="A94" t="s">
        <v>218</v>
      </c>
      <c r="B94" t="s">
        <v>161</v>
      </c>
    </row>
    <row r="95" spans="1:2" x14ac:dyDescent="0.3">
      <c r="A95" t="s">
        <v>219</v>
      </c>
      <c r="B95" t="s">
        <v>161</v>
      </c>
    </row>
    <row r="96" spans="1:2" x14ac:dyDescent="0.3">
      <c r="A96" t="s">
        <v>220</v>
      </c>
      <c r="B96" t="s">
        <v>165</v>
      </c>
    </row>
    <row r="97" spans="1:2" x14ac:dyDescent="0.3">
      <c r="A97" t="s">
        <v>221</v>
      </c>
      <c r="B97" t="s">
        <v>161</v>
      </c>
    </row>
    <row r="98" spans="1:2" x14ac:dyDescent="0.3">
      <c r="A98" t="s">
        <v>222</v>
      </c>
      <c r="B98" t="s">
        <v>161</v>
      </c>
    </row>
    <row r="99" spans="1:2" x14ac:dyDescent="0.3">
      <c r="A99" t="s">
        <v>223</v>
      </c>
      <c r="B99" t="s">
        <v>156</v>
      </c>
    </row>
    <row r="100" spans="1:2" x14ac:dyDescent="0.3">
      <c r="A100" t="s">
        <v>109</v>
      </c>
      <c r="B100" t="s">
        <v>156</v>
      </c>
    </row>
    <row r="101" spans="1:2" x14ac:dyDescent="0.3">
      <c r="A101" t="s">
        <v>224</v>
      </c>
      <c r="B101" t="s">
        <v>156</v>
      </c>
    </row>
    <row r="102" spans="1:2" x14ac:dyDescent="0.3">
      <c r="A102" t="s">
        <v>225</v>
      </c>
      <c r="B102" t="s">
        <v>156</v>
      </c>
    </row>
    <row r="103" spans="1:2" x14ac:dyDescent="0.3">
      <c r="A103" t="s">
        <v>226</v>
      </c>
      <c r="B103" t="s">
        <v>156</v>
      </c>
    </row>
    <row r="104" spans="1:2" x14ac:dyDescent="0.3">
      <c r="A104" t="s">
        <v>53</v>
      </c>
      <c r="B104" t="s">
        <v>165</v>
      </c>
    </row>
    <row r="105" spans="1:2" x14ac:dyDescent="0.3">
      <c r="A105" t="s">
        <v>227</v>
      </c>
      <c r="B105" t="s">
        <v>161</v>
      </c>
    </row>
    <row r="106" spans="1:2" x14ac:dyDescent="0.3">
      <c r="A106" t="s">
        <v>228</v>
      </c>
      <c r="B106" t="s">
        <v>161</v>
      </c>
    </row>
    <row r="107" spans="1:2" x14ac:dyDescent="0.3">
      <c r="A107" t="s">
        <v>229</v>
      </c>
      <c r="B107" t="s">
        <v>165</v>
      </c>
    </row>
    <row r="108" spans="1:2" x14ac:dyDescent="0.3">
      <c r="A108" t="s">
        <v>230</v>
      </c>
      <c r="B108" t="s">
        <v>165</v>
      </c>
    </row>
    <row r="109" spans="1:2" x14ac:dyDescent="0.3">
      <c r="A109" t="s">
        <v>3</v>
      </c>
      <c r="B109" t="s">
        <v>161</v>
      </c>
    </row>
    <row r="110" spans="1:2" x14ac:dyDescent="0.3">
      <c r="A110" t="s">
        <v>231</v>
      </c>
      <c r="B110" t="s">
        <v>165</v>
      </c>
    </row>
    <row r="111" spans="1:2" x14ac:dyDescent="0.3">
      <c r="A111" t="s">
        <v>232</v>
      </c>
      <c r="B111" t="s">
        <v>156</v>
      </c>
    </row>
    <row r="112" spans="1:2" x14ac:dyDescent="0.3">
      <c r="A112" t="s">
        <v>47</v>
      </c>
      <c r="B112" t="s">
        <v>156</v>
      </c>
    </row>
    <row r="113" spans="1:2" x14ac:dyDescent="0.3">
      <c r="A113" t="s">
        <v>233</v>
      </c>
      <c r="B113" t="s">
        <v>165</v>
      </c>
    </row>
    <row r="114" spans="1:2" x14ac:dyDescent="0.3">
      <c r="A114" t="s">
        <v>234</v>
      </c>
      <c r="B114" t="s">
        <v>165</v>
      </c>
    </row>
    <row r="115" spans="1:2" x14ac:dyDescent="0.3">
      <c r="A115" t="s">
        <v>113</v>
      </c>
      <c r="B115" t="s">
        <v>156</v>
      </c>
    </row>
    <row r="116" spans="1:2" x14ac:dyDescent="0.3">
      <c r="A116" t="s">
        <v>235</v>
      </c>
      <c r="B116" t="s">
        <v>165</v>
      </c>
    </row>
    <row r="117" spans="1:2" x14ac:dyDescent="0.3">
      <c r="A117" t="s">
        <v>82</v>
      </c>
      <c r="B117" t="s">
        <v>165</v>
      </c>
    </row>
    <row r="118" spans="1:2" x14ac:dyDescent="0.3">
      <c r="A118" t="s">
        <v>63</v>
      </c>
      <c r="B118" t="s">
        <v>165</v>
      </c>
    </row>
    <row r="119" spans="1:2" x14ac:dyDescent="0.3">
      <c r="A119" t="s">
        <v>6</v>
      </c>
      <c r="B119" t="s">
        <v>156</v>
      </c>
    </row>
    <row r="120" spans="1:2" x14ac:dyDescent="0.3">
      <c r="A120" t="s">
        <v>236</v>
      </c>
      <c r="B120" t="s">
        <v>165</v>
      </c>
    </row>
    <row r="121" spans="1:2" x14ac:dyDescent="0.3">
      <c r="A121" t="s">
        <v>9</v>
      </c>
      <c r="B121" t="s">
        <v>156</v>
      </c>
    </row>
    <row r="122" spans="1:2" x14ac:dyDescent="0.3">
      <c r="A122" t="s">
        <v>237</v>
      </c>
      <c r="B122" t="s">
        <v>156</v>
      </c>
    </row>
    <row r="123" spans="1:2" x14ac:dyDescent="0.3">
      <c r="A123" t="s">
        <v>238</v>
      </c>
      <c r="B123" t="s">
        <v>165</v>
      </c>
    </row>
    <row r="124" spans="1:2" x14ac:dyDescent="0.3">
      <c r="A124" t="s">
        <v>239</v>
      </c>
      <c r="B124" t="s">
        <v>156</v>
      </c>
    </row>
    <row r="125" spans="1:2" x14ac:dyDescent="0.3">
      <c r="A125" t="s">
        <v>240</v>
      </c>
      <c r="B125" t="s">
        <v>165</v>
      </c>
    </row>
    <row r="126" spans="1:2" x14ac:dyDescent="0.3">
      <c r="A126" t="s">
        <v>55</v>
      </c>
      <c r="B126" t="s">
        <v>156</v>
      </c>
    </row>
    <row r="127" spans="1:2" x14ac:dyDescent="0.3">
      <c r="A127" t="s">
        <v>241</v>
      </c>
      <c r="B127" t="s">
        <v>165</v>
      </c>
    </row>
    <row r="128" spans="1:2" x14ac:dyDescent="0.3">
      <c r="A128" t="s">
        <v>86</v>
      </c>
      <c r="B128" t="s">
        <v>156</v>
      </c>
    </row>
    <row r="129" spans="1:2" x14ac:dyDescent="0.3">
      <c r="A129" t="s">
        <v>22</v>
      </c>
      <c r="B129" t="s">
        <v>161</v>
      </c>
    </row>
    <row r="130" spans="1:2" x14ac:dyDescent="0.3">
      <c r="A130" t="s">
        <v>143</v>
      </c>
      <c r="B130" t="s">
        <v>161</v>
      </c>
    </row>
    <row r="131" spans="1:2" x14ac:dyDescent="0.3">
      <c r="A131" t="s">
        <v>242</v>
      </c>
      <c r="B131" t="s">
        <v>165</v>
      </c>
    </row>
    <row r="132" spans="1:2" x14ac:dyDescent="0.3">
      <c r="A132" t="s">
        <v>56</v>
      </c>
      <c r="B132" t="s">
        <v>165</v>
      </c>
    </row>
    <row r="133" spans="1:2" x14ac:dyDescent="0.3">
      <c r="A133" t="s">
        <v>243</v>
      </c>
      <c r="B133" t="s">
        <v>165</v>
      </c>
    </row>
    <row r="134" spans="1:2" x14ac:dyDescent="0.3">
      <c r="A134" t="s">
        <v>244</v>
      </c>
      <c r="B134" t="s">
        <v>165</v>
      </c>
    </row>
    <row r="135" spans="1:2" x14ac:dyDescent="0.3">
      <c r="A135" t="s">
        <v>245</v>
      </c>
      <c r="B135" t="s">
        <v>165</v>
      </c>
    </row>
    <row r="136" spans="1:2" x14ac:dyDescent="0.3">
      <c r="A136" t="s">
        <v>115</v>
      </c>
      <c r="B136" t="s">
        <v>161</v>
      </c>
    </row>
    <row r="137" spans="1:2" x14ac:dyDescent="0.3">
      <c r="A137" t="s">
        <v>95</v>
      </c>
      <c r="B137" t="s">
        <v>161</v>
      </c>
    </row>
    <row r="138" spans="1:2" x14ac:dyDescent="0.3">
      <c r="A138" t="s">
        <v>246</v>
      </c>
      <c r="B138" t="s">
        <v>156</v>
      </c>
    </row>
    <row r="139" spans="1:2" x14ac:dyDescent="0.3">
      <c r="A139" t="s">
        <v>49</v>
      </c>
      <c r="B139" t="s">
        <v>156</v>
      </c>
    </row>
    <row r="140" spans="1:2" x14ac:dyDescent="0.3">
      <c r="A140" t="s">
        <v>247</v>
      </c>
      <c r="B140" t="s">
        <v>165</v>
      </c>
    </row>
    <row r="141" spans="1:2" x14ac:dyDescent="0.3">
      <c r="A141" t="s">
        <v>248</v>
      </c>
      <c r="B141" t="s">
        <v>161</v>
      </c>
    </row>
    <row r="142" spans="1:2" x14ac:dyDescent="0.3">
      <c r="A142" t="s">
        <v>114</v>
      </c>
      <c r="B142" t="s">
        <v>161</v>
      </c>
    </row>
    <row r="143" spans="1:2" x14ac:dyDescent="0.3">
      <c r="A143" t="s">
        <v>74</v>
      </c>
      <c r="B143" t="s">
        <v>165</v>
      </c>
    </row>
    <row r="144" spans="1:2" x14ac:dyDescent="0.3">
      <c r="A144" t="s">
        <v>72</v>
      </c>
      <c r="B144" t="s">
        <v>165</v>
      </c>
    </row>
    <row r="145" spans="1:2" x14ac:dyDescent="0.3">
      <c r="A145" t="s">
        <v>70</v>
      </c>
      <c r="B145" t="s">
        <v>156</v>
      </c>
    </row>
    <row r="146" spans="1:2" x14ac:dyDescent="0.3">
      <c r="A146" t="s">
        <v>83</v>
      </c>
      <c r="B146" t="s">
        <v>165</v>
      </c>
    </row>
    <row r="147" spans="1:2" x14ac:dyDescent="0.3">
      <c r="A147" t="s">
        <v>249</v>
      </c>
      <c r="B147" t="s">
        <v>165</v>
      </c>
    </row>
    <row r="148" spans="1:2" x14ac:dyDescent="0.3">
      <c r="A148" t="s">
        <v>85</v>
      </c>
      <c r="B148" t="s">
        <v>156</v>
      </c>
    </row>
    <row r="149" spans="1:2" x14ac:dyDescent="0.3">
      <c r="A149" s="3" t="s">
        <v>8</v>
      </c>
      <c r="B149" s="5" t="s">
        <v>165</v>
      </c>
    </row>
    <row r="150" spans="1:2" x14ac:dyDescent="0.3">
      <c r="A150" s="3" t="s">
        <v>32</v>
      </c>
      <c r="B150" s="5" t="s">
        <v>165</v>
      </c>
    </row>
    <row r="151" spans="1:2" x14ac:dyDescent="0.3">
      <c r="A151" s="6" t="s">
        <v>91</v>
      </c>
      <c r="B151" s="5" t="s">
        <v>156</v>
      </c>
    </row>
    <row r="152" spans="1:2" x14ac:dyDescent="0.3">
      <c r="A152" s="6" t="s">
        <v>54</v>
      </c>
      <c r="B152" s="5" t="s">
        <v>156</v>
      </c>
    </row>
    <row r="153" spans="1:2" x14ac:dyDescent="0.3">
      <c r="A153" s="3" t="s">
        <v>73</v>
      </c>
      <c r="B153" s="5" t="s">
        <v>161</v>
      </c>
    </row>
    <row r="154" spans="1:2" x14ac:dyDescent="0.3">
      <c r="A154" s="3" t="s">
        <v>79</v>
      </c>
      <c r="B154" s="5" t="s">
        <v>156</v>
      </c>
    </row>
    <row r="155" spans="1:2" x14ac:dyDescent="0.3">
      <c r="A155" s="3" t="s">
        <v>58</v>
      </c>
      <c r="B155" s="5" t="s">
        <v>161</v>
      </c>
    </row>
    <row r="156" spans="1:2" x14ac:dyDescent="0.3">
      <c r="A156" s="6" t="s">
        <v>50</v>
      </c>
      <c r="B156" s="5" t="s">
        <v>156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8E9B0F-391F-4CAF-8F75-5B1B6CCF8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Summary</vt:lpstr>
      <vt:lpstr>Abril 2025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Miranda</dc:creator>
  <cp:lastModifiedBy>Beatriz Melo</cp:lastModifiedBy>
  <dcterms:created xsi:type="dcterms:W3CDTF">2025-05-09T11:29:49Z</dcterms:created>
  <dcterms:modified xsi:type="dcterms:W3CDTF">2025-05-09T16:39:56Z</dcterms:modified>
</cp:coreProperties>
</file>