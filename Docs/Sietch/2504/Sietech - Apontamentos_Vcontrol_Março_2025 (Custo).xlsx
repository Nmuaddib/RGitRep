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3- MARÇO\"/>
    </mc:Choice>
  </mc:AlternateContent>
  <xr:revisionPtr revIDLastSave="0" documentId="8_{E1E91A50-5727-4E04-99C9-E7C405C98D19}" xr6:coauthVersionLast="47" xr6:coauthVersionMax="47" xr10:uidLastSave="{00000000-0000-0000-0000-000000000000}"/>
  <bookViews>
    <workbookView xWindow="-108" yWindow="-108" windowWidth="23256" windowHeight="12456" xr2:uid="{7AB4CB2D-7060-40B1-80B4-DD26C8C75D3A}"/>
  </bookViews>
  <sheets>
    <sheet name="Summary" sheetId="24" r:id="rId1"/>
    <sheet name="Marco 2025" sheetId="22" r:id="rId2"/>
    <sheet name="Vlookup" sheetId="23" r:id="rId3"/>
  </sheets>
  <definedNames>
    <definedName name="DadosExternos_1" localSheetId="1" hidden="1">'Marco 2025'!$A$1:$R$54</definedName>
  </definedNames>
  <calcPr calcId="191029"/>
  <pivotCaches>
    <pivotCache cacheId="2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22" l="1"/>
  <c r="P54" i="22" s="1"/>
  <c r="R54" i="22"/>
  <c r="P53" i="22"/>
  <c r="R53" i="22"/>
  <c r="P15" i="22"/>
  <c r="R15" i="22"/>
  <c r="P16" i="22"/>
  <c r="R16" i="22"/>
  <c r="P17" i="22"/>
  <c r="R17" i="22"/>
  <c r="P18" i="22"/>
  <c r="R18" i="22"/>
  <c r="P19" i="22"/>
  <c r="R19" i="22"/>
  <c r="P20" i="22"/>
  <c r="R20" i="22"/>
  <c r="P21" i="22"/>
  <c r="R21" i="22"/>
  <c r="P22" i="22"/>
  <c r="R22" i="22"/>
  <c r="P23" i="22"/>
  <c r="R23" i="22"/>
  <c r="P24" i="22"/>
  <c r="R24" i="22"/>
  <c r="P25" i="22"/>
  <c r="R25" i="22"/>
  <c r="P26" i="22"/>
  <c r="R26" i="22"/>
  <c r="P27" i="22"/>
  <c r="R27" i="22"/>
  <c r="P28" i="22"/>
  <c r="R28" i="22"/>
  <c r="P29" i="22"/>
  <c r="R29" i="22"/>
  <c r="P30" i="22"/>
  <c r="R30" i="22"/>
  <c r="P31" i="22"/>
  <c r="R31" i="22"/>
  <c r="P32" i="22"/>
  <c r="R32" i="22"/>
  <c r="P33" i="22"/>
  <c r="R33" i="22"/>
  <c r="P34" i="22"/>
  <c r="R34" i="22"/>
  <c r="P35" i="22"/>
  <c r="R35" i="22"/>
  <c r="P36" i="22"/>
  <c r="R36" i="22"/>
  <c r="P37" i="22"/>
  <c r="R37" i="22"/>
  <c r="P38" i="22"/>
  <c r="R38" i="22"/>
  <c r="P39" i="22"/>
  <c r="R39" i="22"/>
  <c r="P40" i="22"/>
  <c r="R40" i="22"/>
  <c r="P41" i="22"/>
  <c r="R41" i="22"/>
  <c r="P42" i="22"/>
  <c r="R42" i="22"/>
  <c r="P43" i="22"/>
  <c r="R43" i="22"/>
  <c r="P44" i="22"/>
  <c r="R44" i="22"/>
  <c r="P45" i="22"/>
  <c r="R45" i="22"/>
  <c r="P46" i="22"/>
  <c r="R46" i="22"/>
  <c r="P47" i="22"/>
  <c r="R47" i="22"/>
  <c r="P48" i="22"/>
  <c r="R48" i="22"/>
  <c r="P49" i="22"/>
  <c r="R49" i="22"/>
  <c r="P50" i="22"/>
  <c r="R50" i="22"/>
  <c r="P51" i="22"/>
  <c r="R51" i="22"/>
  <c r="P52" i="22"/>
  <c r="R52" i="22"/>
  <c r="P10" i="22"/>
  <c r="R10" i="22"/>
  <c r="P11" i="22"/>
  <c r="R11" i="22"/>
  <c r="P12" i="22"/>
  <c r="R12" i="22"/>
  <c r="P13" i="22"/>
  <c r="R13" i="22"/>
  <c r="P14" i="22"/>
  <c r="R14" i="22"/>
  <c r="O9" i="22"/>
  <c r="P9" i="22" s="1"/>
  <c r="R9" i="22"/>
  <c r="O6" i="22"/>
  <c r="P6" i="22" s="1"/>
  <c r="R6" i="22"/>
  <c r="O7" i="22"/>
  <c r="P7" i="22" s="1"/>
  <c r="R7" i="22"/>
  <c r="O8" i="22"/>
  <c r="P8" i="22" s="1"/>
  <c r="R8" i="22"/>
  <c r="O2" i="22"/>
  <c r="P2" i="22" s="1"/>
  <c r="R2" i="22"/>
  <c r="O3" i="22"/>
  <c r="P3" i="22" s="1"/>
  <c r="R3" i="22"/>
  <c r="O4" i="22"/>
  <c r="P4" i="22" s="1"/>
  <c r="R4" i="22"/>
  <c r="O5" i="22"/>
  <c r="P5" i="22" s="1"/>
  <c r="R5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CADB4-9FFD-4A15-AA38-CFCF380D5EAD}" keepAlive="1" name="Consulta - ApprovedTimeReport_000_202531" description="Conexão com a consulta 'ApprovedTimeReport_000_202531' na pasta de trabalho." type="5" refreshedVersion="0" background="1">
    <dbPr connection="Provider=Microsoft.Mashup.OleDb.1;Data Source=$Workbook$;Location=ApprovedTimeReport_000_202531;Extended Properties=&quot;&quot;" command="SELECT * FROM [ApprovedTimeReport_000_202531]"/>
  </connection>
  <connection id="2" xr16:uid="{A67296CF-8E5A-4746-8A6D-B7E0DD42BCCD}" keepAlive="1" name="Consulta - ApprovedTimeReport_000_202533" description="Conexão com a consulta 'ApprovedTimeReport_000_202533' na pasta de trabalho." type="5" refreshedVersion="0" background="1">
    <dbPr connection="Provider=Microsoft.Mashup.OleDb.1;Data Source=$Workbook$;Location=ApprovedTimeReport_000_202533;Extended Properties=&quot;&quot;" command="SELECT * FROM [ApprovedTimeReport_000_202533]"/>
  </connection>
  <connection id="3" xr16:uid="{F79651D8-0BD6-48FD-9D3C-1E805B06D5E1}" keepAlive="1" name="Consulta - ApprovedTimeReport_000_202533 (1)" description="Conexão com a consulta 'ApprovedTimeReport_000_202533 (1)' na pasta de trabalho." type="5" refreshedVersion="0" background="1">
    <dbPr connection="Provider=Microsoft.Mashup.OleDb.1;Data Source=$Workbook$;Location=&quot;ApprovedTimeReport_000_202533 (1)&quot;;Extended Properties=&quot;&quot;" command="SELECT * FROM [ApprovedTimeReport_000_202533 (1)]"/>
  </connection>
  <connection id="4" xr16:uid="{F47D573E-300B-49AA-A0E6-D78C6358092B}" keepAlive="1" name="Consulta - ApprovedTimeReport_000_202533 (2)" description="Conexão com a consulta 'ApprovedTimeReport_000_202533 (2)' na pasta de trabalho." type="5" refreshedVersion="8" background="1" saveData="1">
    <dbPr connection="Provider=Microsoft.Mashup.OleDb.1;Data Source=$Workbook$;Location=&quot;ApprovedTimeReport_000_202533 (2)&quot;;Extended Properties=&quot;&quot;" command="SELECT * FROM [ApprovedTimeReport_000_202533 (2)]"/>
  </connection>
  <connection id="5" xr16:uid="{A7D22590-CEE2-4024-8A84-5789FBA09F14}" keepAlive="1" name="Consulta - ApprovedTimeReport_000_202533 (3)" description="Conexão com a consulta 'ApprovedTimeReport_000_202533 (3)' na pasta de trabalho." type="5" refreshedVersion="8" background="1" saveData="1">
    <dbPr connection="Provider=Microsoft.Mashup.OleDb.1;Data Source=$Workbook$;Location=&quot;ApprovedTimeReport_000_202533 (3)&quot;;Extended Properties=&quot;&quot;" command="SELECT * FROM [ApprovedTimeReport_000_202533 (3)]"/>
  </connection>
  <connection id="6" xr16:uid="{57808286-929B-4D8C-BD4D-6076BF9E4092}" keepAlive="1" name="Consulta - ApprovedTimeReport_000_202533 (4)" description="Conexão com a consulta 'ApprovedTimeReport_000_202533 (4)' na pasta de trabalho." type="5" refreshedVersion="0" background="1">
    <dbPr connection="Provider=Microsoft.Mashup.OleDb.1;Data Source=$Workbook$;Location=&quot;ApprovedTimeReport_000_202533 (4)&quot;;Extended Properties=&quot;&quot;" command="SELECT * FROM [ApprovedTimeReport_000_202533 (4)]"/>
  </connection>
  <connection id="7" xr16:uid="{A55D1328-28A4-4042-A09A-4322779C8B73}" keepAlive="1" name="Consulta - ApprovedTimeReport_000_202533 (5)" description="Conexão com a consulta 'ApprovedTimeReport_000_202533 (5)' na pasta de trabalho." type="5" refreshedVersion="8" background="1" saveData="1">
    <dbPr connection="Provider=Microsoft.Mashup.OleDb.1;Data Source=$Workbook$;Location=&quot;ApprovedTimeReport_000_202533 (5)&quot;;Extended Properties=&quot;&quot;" command="SELECT * FROM [ApprovedTimeReport_000_202533 (5)]"/>
  </connection>
  <connection id="8" xr16:uid="{56D9CAE3-72B9-422B-B9E6-12DD055E52C1}" keepAlive="1" name="Consulta - ApprovedTimeReport_000_202533 (6)" description="Conexão com a consulta 'ApprovedTimeReport_000_202533 (6)' na pasta de trabalho." type="5" refreshedVersion="8" background="1" saveData="1">
    <dbPr connection="Provider=Microsoft.Mashup.OleDb.1;Data Source=$Workbook$;Location=&quot;ApprovedTimeReport_000_202533 (6)&quot;;Extended Properties=&quot;&quot;" command="SELECT * FROM [ApprovedTimeReport_000_202533 (6)]"/>
  </connection>
  <connection id="9" xr16:uid="{D94A5415-9213-4EF3-94AE-C334C3A9B7D1}" keepAlive="1" name="Consulta - ApprovedTimeReport_001_202533" description="Conexão com a consulta 'ApprovedTimeReport_001_202533' na pasta de trabalho." type="5" refreshedVersion="0" background="1">
    <dbPr connection="Provider=Microsoft.Mashup.OleDb.1;Data Source=$Workbook$;Location=ApprovedTimeReport_001_202533;Extended Properties=&quot;&quot;" command="SELECT * FROM [ApprovedTimeReport_001_202533]"/>
  </connection>
  <connection id="10" xr16:uid="{BA6C66AD-DFC7-49E9-95F4-DB4BD11B6675}" keepAlive="1" name="Consulta - ApprovedTimeReport_001_202533 (1)" description="Conexão com a consulta 'ApprovedTimeReport_001_202533 (1)' na pasta de trabalho." type="5" refreshedVersion="8" background="1" saveData="1">
    <dbPr connection="Provider=Microsoft.Mashup.OleDb.1;Data Source=$Workbook$;Location=&quot;ApprovedTimeReport_001_202533 (1)&quot;;Extended Properties=&quot;&quot;" command="SELECT * FROM [ApprovedTimeReport_001_202533 (1)]"/>
  </connection>
  <connection id="11" xr16:uid="{C931DC60-BA31-4C76-969F-9BB2058CC342}" keepAlive="1" name="Consulta - ApprovedTimeReport_001_202533 (2)" description="Conexão com a consulta 'ApprovedTimeReport_001_202533 (2)' na pasta de trabalho." type="5" refreshedVersion="8" background="1" saveData="1">
    <dbPr connection="Provider=Microsoft.Mashup.OleDb.1;Data Source=$Workbook$;Location=&quot;ApprovedTimeReport_001_202533 (2)&quot;;Extended Properties=&quot;&quot;" command="SELECT * FROM [ApprovedTimeReport_001_202533 (2)]"/>
  </connection>
  <connection id="12" xr16:uid="{B029BAC5-6E34-4118-AC52-E49D81D857EA}" keepAlive="1" name="Consulta - ApprovedTimeReport_002_202532" description="Conexão com a consulta 'ApprovedTimeReport_002_202532' na pasta de trabalho." type="5" refreshedVersion="0" background="1">
    <dbPr connection="Provider=Microsoft.Mashup.OleDb.1;Data Source=$Workbook$;Location=ApprovedTimeReport_002_202532;Extended Properties=&quot;&quot;" command="SELECT * FROM [ApprovedTimeReport_002_202532]"/>
  </connection>
  <connection id="13" xr16:uid="{096607A4-7D75-4928-8D90-CA8B4CB47721}" keepAlive="1" name="Consulta - ApprovedTimeReport_002_202532 (2)" description="Conexão com a consulta 'ApprovedTimeReport_002_202532 (2)' na pasta de trabalho." type="5" refreshedVersion="8" background="1" saveData="1">
    <dbPr connection="Provider=Microsoft.Mashup.OleDb.1;Data Source=$Workbook$;Location=&quot;ApprovedTimeReport_002_202532 (2)&quot;;Extended Properties=&quot;&quot;" command="SELECT * FROM [ApprovedTimeReport_002_202532 (2)]"/>
  </connection>
  <connection id="14" xr16:uid="{BFD3BABD-16B2-4D5C-BAEF-D864B726B30E}" keepAlive="1" name="Consulta - ApprovedTimeReport_002_202533" description="Conexão com a consulta 'ApprovedTimeReport_002_202533' na pasta de trabalho." type="5" refreshedVersion="0" background="1">
    <dbPr connection="Provider=Microsoft.Mashup.OleDb.1;Data Source=$Workbook$;Location=ApprovedTimeReport_002_202533;Extended Properties=&quot;&quot;" command="SELECT * FROM [ApprovedTimeReport_002_202533]"/>
  </connection>
  <connection id="15" xr16:uid="{83EAFE8C-353F-496B-8587-8F5515E27118}" keepAlive="1" name="Consulta - ApprovedTimeReport_002_202533 (1)" description="Conexão com a consulta 'ApprovedTimeReport_002_202533 (1)' na pasta de trabalho." type="5" refreshedVersion="0" background="1">
    <dbPr connection="Provider=Microsoft.Mashup.OleDb.1;Data Source=$Workbook$;Location=&quot;ApprovedTimeReport_002_202533 (1)&quot;;Extended Properties=&quot;&quot;" command="SELECT * FROM [ApprovedTimeReport_002_202533 (1)]"/>
  </connection>
  <connection id="16" xr16:uid="{A80B73E4-B1B5-4145-A73F-BC5A8CC6ED9A}" keepAlive="1" name="Consulta - ApprovedTimeReport_002_202533 (2)" description="Conexão com a consulta 'ApprovedTimeReport_002_202533 (2)' na pasta de trabalho." type="5" refreshedVersion="8" background="1" saveData="1">
    <dbPr connection="Provider=Microsoft.Mashup.OleDb.1;Data Source=$Workbook$;Location=&quot;ApprovedTimeReport_002_202533 (2)&quot;;Extended Properties=&quot;&quot;" command="SELECT * FROM [ApprovedTimeReport_002_202533 (2)]"/>
  </connection>
  <connection id="17" xr16:uid="{C54C313C-9A8D-4116-BE5C-D1153B4CCEA0}" keepAlive="1" name="Consulta - ApprovedTimeReport_002_202533 (3)" description="Conexão com a consulta 'ApprovedTimeReport_002_202533 (3)' na pasta de trabalho." type="5" refreshedVersion="8" background="1" saveData="1">
    <dbPr connection="Provider=Microsoft.Mashup.OleDb.1;Data Source=$Workbook$;Location=&quot;ApprovedTimeReport_002_202533 (3)&quot;;Extended Properties=&quot;&quot;" command="SELECT * FROM [ApprovedTimeReport_002_202533 (3)]"/>
  </connection>
  <connection id="18" xr16:uid="{766C8FA7-A5C2-4C1F-B99B-6946042CDE80}" keepAlive="1" name="Consulta - ApprovedTimeReport_003_202532" description="Conexão com a consulta 'ApprovedTimeReport_003_202532' na pasta de trabalho." type="5" refreshedVersion="0" background="1">
    <dbPr connection="Provider=Microsoft.Mashup.OleDb.1;Data Source=$Workbook$;Location=ApprovedTimeReport_003_202532;Extended Properties=&quot;&quot;" command="SELECT * FROM [ApprovedTimeReport_003_202532]"/>
  </connection>
  <connection id="19" xr16:uid="{5067B861-FB29-43C0-9D5B-FB4071FCB138}" keepAlive="1" name="Consulta - ApprovedTimeReport_003_202532 (2)" description="Conexão com a consulta 'ApprovedTimeReport_003_202532 (2)' na pasta de trabalho." type="5" refreshedVersion="8" background="1" saveData="1">
    <dbPr connection="Provider=Microsoft.Mashup.OleDb.1;Data Source=$Workbook$;Location=&quot;ApprovedTimeReport_003_202532 (2)&quot;;Extended Properties=&quot;&quot;" command="SELECT * FROM [ApprovedTimeReport_003_202532 (2)]"/>
  </connection>
  <connection id="20" xr16:uid="{D5940D06-3E61-4EB7-939E-CD2607C4F7DF}" keepAlive="1" name="Consulta - ApprovedTimeReport_003_202534" description="Conexão com a consulta 'ApprovedTimeReport_003_202534' na pasta de trabalho." type="5" refreshedVersion="8" background="1" saveData="1">
    <dbPr connection="Provider=Microsoft.Mashup.OleDb.1;Data Source=$Workbook$;Location=ApprovedTimeReport_003_202534;Extended Properties=&quot;&quot;" command="SELECT * FROM [ApprovedTimeReport_003_202534]"/>
  </connection>
  <connection id="21" xr16:uid="{689A2577-A121-4BD4-96B7-953FA71C6761}" keepAlive="1" name="Consulta - ApprovedTimeReport_004_202534" description="Conexão com a consulta 'ApprovedTimeReport_004_202534' na pasta de trabalho." type="5" refreshedVersion="8" background="1" saveData="1">
    <dbPr connection="Provider=Microsoft.Mashup.OleDb.1;Data Source=$Workbook$;Location=ApprovedTimeReport_004_202534;Extended Properties=&quot;&quot;" command="SELECT * FROM [ApprovedTimeReport_004_202534]"/>
  </connection>
  <connection id="22" xr16:uid="{1C6D10D9-0947-4316-81AE-21B63700C32A}" keepAlive="1" name="Consulta - ApprovedTimeReport_006_202534" description="Conexão com a consulta 'ApprovedTimeReport_006_202534' na pasta de trabalho." type="5" refreshedVersion="8" background="1" saveData="1">
    <dbPr connection="Provider=Microsoft.Mashup.OleDb.1;Data Source=$Workbook$;Location=ApprovedTimeReport_006_202534;Extended Properties=&quot;&quot;" command="SELECT * FROM [ApprovedTimeReport_006_202534]"/>
  </connection>
  <connection id="23" xr16:uid="{465241CA-E2BB-4F43-B916-30F88CEBE2B2}" keepAlive="1" name="Consulta - ApprovedTimeReport_007_202534" description="Conexão com a consulta 'ApprovedTimeReport_007_202534' na pasta de trabalho." type="5" refreshedVersion="8" background="1" saveData="1">
    <dbPr connection="Provider=Microsoft.Mashup.OleDb.1;Data Source=$Workbook$;Location=ApprovedTimeReport_007_202534;Extended Properties=&quot;&quot;" command="SELECT * FROM [ApprovedTimeReport_007_202534]"/>
  </connection>
</connections>
</file>

<file path=xl/sharedStrings.xml><?xml version="1.0" encoding="utf-8"?>
<sst xmlns="http://schemas.openxmlformats.org/spreadsheetml/2006/main" count="718" uniqueCount="246">
  <si>
    <t>FunnelID</t>
  </si>
  <si>
    <t>Work Date</t>
  </si>
  <si>
    <t>Date TimeSheet</t>
  </si>
  <si>
    <t>CCID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</si>
  <si>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</si>
  <si>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</si>
  <si>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</si>
  <si>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</si>
  <si>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</si>
  <si>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</si>
  <si>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</si>
  <si>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</si>
  <si>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</si>
  <si>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</si>
  <si>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</si>
  <si>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458-VCK492</t>
  </si>
  <si>
    <t>SOW</t>
  </si>
  <si>
    <t>Hanon Systems Climatizacao Do</t>
  </si>
  <si>
    <t>4328-VCK1760</t>
  </si>
  <si>
    <t>ZF Passive Safety System Brazil Ltda</t>
  </si>
  <si>
    <t>8040-VCK490</t>
  </si>
  <si>
    <t>Freudenberg Nok Comp Br Ltd</t>
  </si>
  <si>
    <t>8172-VCK476</t>
  </si>
  <si>
    <t>8168-VCK514</t>
  </si>
  <si>
    <t>OXBO DO BRASIL EQUIPAMENTOS</t>
  </si>
  <si>
    <t>NB-Squad_DevTec</t>
  </si>
  <si>
    <t>Vockan Consulting Ltda</t>
  </si>
  <si>
    <t>NB-Suporte</t>
  </si>
  <si>
    <t>002-VCKDSCPQAD</t>
  </si>
  <si>
    <t>4522-VCK452</t>
  </si>
  <si>
    <t>APTIV Man e Serv de Distr. Ltda</t>
  </si>
  <si>
    <t>NBP-PLAN-115</t>
  </si>
  <si>
    <t>Project Manager</t>
  </si>
  <si>
    <t>NB01</t>
  </si>
  <si>
    <t>SUP-Treinamento</t>
  </si>
  <si>
    <t>SUP-Outros Projetos</t>
  </si>
  <si>
    <t>NB-Projetos e Consultoria</t>
  </si>
  <si>
    <t>Program Manager</t>
  </si>
  <si>
    <t>SUP-Reuniao</t>
  </si>
  <si>
    <t>DOSCOBQAD</t>
  </si>
  <si>
    <t>NB-Consultoria-Tec&amp;Dev</t>
  </si>
  <si>
    <t>SUP-Apontamento</t>
  </si>
  <si>
    <t>Sietech</t>
  </si>
  <si>
    <t>Nelson Simoes</t>
  </si>
  <si>
    <t>FY25 com Alan, Scrum, tratamento de taskforce e subida de produção Aptiv com DEVs</t>
  </si>
  <si>
    <t>876-VCK490</t>
  </si>
  <si>
    <t>NB-BPO e PMO</t>
  </si>
  <si>
    <t>CO01</t>
  </si>
  <si>
    <t>Revisão V-control, Alinhamento com Cestari, reunião com Fábio, Reunião com PHL</t>
  </si>
  <si>
    <t>610-VCK528</t>
  </si>
  <si>
    <t>NBP-PE-PLAN12</t>
  </si>
  <si>
    <t>952-VCK446</t>
  </si>
  <si>
    <t>448-VCK494</t>
  </si>
  <si>
    <t>HUF do Brasil Ltda</t>
  </si>
  <si>
    <t>4480-VCK504</t>
  </si>
  <si>
    <t>472-VCK450</t>
  </si>
  <si>
    <t>NBP-PE-PLAN10</t>
  </si>
  <si>
    <t>131-VckAut</t>
  </si>
  <si>
    <t>434-VCK448</t>
  </si>
  <si>
    <t>4460-vck460</t>
  </si>
  <si>
    <t>436-VCK520</t>
  </si>
  <si>
    <t>12558-VCK508</t>
  </si>
  <si>
    <t>7958-VCK446</t>
  </si>
  <si>
    <t>Sprint semana Exchange BPO Op</t>
  </si>
  <si>
    <t>2174-VCK448</t>
  </si>
  <si>
    <t>Fechamento Sprint, alinhamento projetos com Fabricio, 1:1 Andre, taskforce aptiv</t>
  </si>
  <si>
    <t>NB-Scrum-Dev</t>
  </si>
  <si>
    <t>872-VCK514</t>
  </si>
  <si>
    <t>Renovação Amvac, reunião com Fabio</t>
  </si>
  <si>
    <t>Alinhamento de demandas de BPO</t>
  </si>
  <si>
    <t>8038-VCK452</t>
  </si>
  <si>
    <t>USP15072</t>
  </si>
  <si>
    <t>NBP-PLAN107</t>
  </si>
  <si>
    <t>Reunião com Hilmar, scrum, taskforce aptiv com DEVs</t>
  </si>
  <si>
    <t>8296-VCK638</t>
  </si>
  <si>
    <t>Alinhamento com Pamela, taskforce Aptiv, reunião KYB, alinhamento com Fábio</t>
  </si>
  <si>
    <t>8120-VCK508</t>
  </si>
  <si>
    <t>8274-VCK638</t>
  </si>
  <si>
    <t>NB-Treinamento</t>
  </si>
  <si>
    <t>NB-VCC</t>
  </si>
  <si>
    <t>872-VCK478</t>
  </si>
  <si>
    <t>496-VCK472</t>
  </si>
  <si>
    <t>Controle de demandas Aptiv, alinhamento com Fábio, alinhamento Lifetech, reunião taskforce aptiv</t>
  </si>
  <si>
    <t>scrum, tratamento de demandas de desenvolvimento - indicador de produtividade, reunião com time sobre aptiv</t>
  </si>
  <si>
    <t>Onboarding, Felipe, renovação Amvac, alinhamento aptiv, reunião com funcionais</t>
  </si>
  <si>
    <t>Scrum, Update viagem, Lista de preços Adium, kick off Valmont, kick off CSP, alinhamento dev aptiv</t>
  </si>
  <si>
    <t>Reunião gerencial, preparação de mateiral, capacitação Exchange, reunião Aptiv com DEV</t>
  </si>
  <si>
    <t>Apresentação Clarios, alinhamento horas Aptiv</t>
  </si>
  <si>
    <t>Proposta Clarios, alinhamento com Anurag, Vaga Funcional com Alexia, reunião Aptiv</t>
  </si>
  <si>
    <t>Alinhamento de demandas Freud com Parrillo.</t>
  </si>
  <si>
    <t>Form levantamento Funcional BPO, !:1 Fabio, alinhamento BPO</t>
  </si>
  <si>
    <t>1:1 André, reunião com Progress, reunião com Giovana e Parpinelli para controle de produtividade, scrum, reunião Aptiv</t>
  </si>
  <si>
    <t>Workshop Web UI, Scrum, alinhamento demandas Aptiv com DEV</t>
  </si>
  <si>
    <t>Alinhamento com Daniel e Guilherme, checkpoint Aptiv</t>
  </si>
  <si>
    <t>8152-VCK452</t>
  </si>
  <si>
    <t>Update viagem, scrum, alinhamento aptiv</t>
  </si>
  <si>
    <t>Reunião de alinhamento de projetos V-control, alinhamento aptiv, alinhamento com Fabio</t>
  </si>
  <si>
    <t>Sprint Semanal Exchange</t>
  </si>
  <si>
    <t>Praparação de material para reunião presencial e alinhamento com time sobre back log, dev e BPO</t>
  </si>
  <si>
    <t>1:1 André, Scrum, alinhamento aptiv</t>
  </si>
  <si>
    <t>Alinhamento sobre scan de customizados com Parpinelli</t>
  </si>
  <si>
    <t>NB-Universidades</t>
  </si>
  <si>
    <t>Alinhamento Aptiv</t>
  </si>
  <si>
    <t>Alinhamento sobre pacotes para conversão</t>
  </si>
  <si>
    <t>Planejamento sprint, alinhamento dev C&amp;Z, Reunião aptiv</t>
  </si>
  <si>
    <t>Visita escritorio Huf, visita Clarios Sorocaba</t>
  </si>
  <si>
    <t>Fechamento Sprint, alinhamento Progress</t>
  </si>
  <si>
    <t>Alinhamento de demandas com Leopoldo e com equipe</t>
  </si>
  <si>
    <t>Treinamento Web UI, alinhamento huf e hanon, reunião aptiv</t>
  </si>
  <si>
    <t>Alinhamento HUF, plano de trabalho de medição de produtividade, SLA dinâmico , pagamento fracionado de demandas, reunião com Aptiv para fechamento de escopo de taskforce</t>
  </si>
  <si>
    <t>PPT para workshop agil, apresentação de workshop, reunião sobre CX e playbook exchange, on boarding com Pamela, Alinhamento com Fabio sobre backlog aptiv</t>
  </si>
  <si>
    <t>Preparação de ppt para sprint semanal, apresentação de propostas BPO op, sprint semanal</t>
  </si>
  <si>
    <t>Alinhamento com toda equipe funcional e dev envolvida no backlog aptiv</t>
  </si>
  <si>
    <t>Alinhamento com Fábio, Fup oportunidades, atualização de propostas</t>
  </si>
  <si>
    <t>Plano de trabalho para Aptiv, 1:1 André</t>
  </si>
  <si>
    <t>Alinhamento de volume contratual</t>
  </si>
  <si>
    <t>Atualização de v-control, propostas e aprovações, alinhamento com Fábio</t>
  </si>
  <si>
    <t>Atualização de v-control, propostas e aprovações</t>
  </si>
  <si>
    <t>Plano de trabalho para quitação de backlog</t>
  </si>
  <si>
    <t>NBP-HERA</t>
  </si>
  <si>
    <t>NBP-PEVO97</t>
  </si>
  <si>
    <t>NBP-PEVO116</t>
  </si>
  <si>
    <t>Participação no Summit, dia inteiro, 8h as 16h</t>
  </si>
  <si>
    <t>7962-VCK448</t>
  </si>
  <si>
    <t>4776-VCK488</t>
  </si>
  <si>
    <t>Update viagem, scrum</t>
  </si>
  <si>
    <t>Alinhamento proposta Persio, alinhamento Agilista, tratamento de backlog aptiv</t>
  </si>
  <si>
    <t>068-vckcar</t>
  </si>
  <si>
    <t>NB-BITRIX</t>
  </si>
  <si>
    <t>NBP-WEBUI-LOC</t>
  </si>
  <si>
    <t>NBP-PREVENDA</t>
  </si>
  <si>
    <t>NBP-CAIOBA</t>
  </si>
  <si>
    <t>FUP Bitrix e reunião com diretores para report</t>
  </si>
  <si>
    <t>Fup Bitrix</t>
  </si>
  <si>
    <t>Atualização de cards e planilha de resumo</t>
  </si>
  <si>
    <t>Atualização de cards</t>
  </si>
  <si>
    <t>Atualização de planilha YTD</t>
  </si>
  <si>
    <t>Atualização de cards Bitrix</t>
  </si>
  <si>
    <t>Atualização Bitrix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</si>
  <si>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</si>
  <si>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</si>
  <si>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</si>
  <si>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</si>
  <si>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</si>
  <si>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</si>
  <si>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</si>
  <si>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</si>
  <si>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</si>
  <si>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089-vckand</t>
  </si>
  <si>
    <t>A7lAPT28665</t>
  </si>
  <si>
    <t>T&amp;M</t>
  </si>
  <si>
    <t>010-VckBim</t>
  </si>
  <si>
    <t>115-VCKCER</t>
  </si>
  <si>
    <t>452-VCK476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</si>
  <si>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</si>
  <si>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</si>
  <si>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</si>
  <si>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</si>
  <si>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</si>
  <si>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</si>
  <si>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</si>
  <si>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</si>
  <si>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</si>
  <si>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</si>
  <si>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</si>
  <si>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</si>
  <si>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484-VCK514</t>
  </si>
  <si>
    <t>093-Vckser</t>
  </si>
  <si>
    <t>001-VCKSIT</t>
  </si>
  <si>
    <t>002-VckSIT</t>
  </si>
  <si>
    <t>FWOSMR62794</t>
  </si>
  <si>
    <t>362-VCK528</t>
  </si>
  <si>
    <t>VCK692</t>
  </si>
  <si>
    <t>151-VckTow</t>
  </si>
  <si>
    <t>NB-CloudCert2023</t>
  </si>
  <si>
    <t>NBP-Capacitacao</t>
  </si>
  <si>
    <t>NBP-Governanca</t>
  </si>
  <si>
    <t>NBP-QADBR+_Lean</t>
  </si>
  <si>
    <t>154-vckZF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</si>
  <si>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</si>
  <si>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</si>
  <si>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</si>
  <si>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</si>
  <si>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</si>
  <si>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</si>
  <si>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</si>
  <si>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</si>
  <si>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</si>
  <si>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NBP-PE-PLAN23</t>
  </si>
  <si>
    <t>CSA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</si>
  <si>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</si>
  <si>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</si>
  <si>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</si>
  <si>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</si>
  <si>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</si>
  <si>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</si>
  <si>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</si>
  <si>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826-VCK504</t>
  </si>
  <si>
    <t>970-VCK514</t>
  </si>
  <si>
    <t>786-VCK538</t>
  </si>
  <si>
    <t>NBP-WEBUI-FIN</t>
  </si>
  <si>
    <t>950-VCK862</t>
  </si>
  <si>
    <t>984-VCK538</t>
  </si>
  <si>
    <t>480-VCK452</t>
  </si>
  <si>
    <t>NBP-PLAN-112</t>
  </si>
  <si>
    <t>NBP-PLAN17</t>
  </si>
  <si>
    <t>NBP-Trein_Vendas</t>
  </si>
  <si>
    <t>976-VCK510</t>
  </si>
  <si>
    <t>NBP-AMCHAM</t>
  </si>
  <si>
    <t>059-VckAdi</t>
  </si>
  <si>
    <t>888-vck446</t>
  </si>
  <si>
    <t>4320-VCK452</t>
  </si>
  <si>
    <t>4350-VCK514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</si>
  <si>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</si>
  <si>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</si>
  <si>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</si>
  <si>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</si>
  <si>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</si>
  <si>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</si>
  <si>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</si>
  <si>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4348-VCK508</t>
  </si>
  <si>
    <t>4436-VCK446</t>
  </si>
  <si>
    <t>7950-VCK508</t>
  </si>
  <si>
    <t>8082-VCK638</t>
  </si>
  <si>
    <t>7938-VCK446</t>
  </si>
  <si>
    <t>7960-VCK446</t>
  </si>
  <si>
    <t>7988-VCK446</t>
  </si>
  <si>
    <t>7956-VCK538</t>
  </si>
  <si>
    <t>8028-VCK510</t>
  </si>
  <si>
    <t>8124-VCK488</t>
  </si>
  <si>
    <t>8126-VCK510</t>
  </si>
  <si>
    <t>8132-VCK488</t>
  </si>
  <si>
    <t>8184-VCK446</t>
  </si>
  <si>
    <t>CostRate w/ Taxes</t>
  </si>
  <si>
    <t>Total Cost</t>
  </si>
  <si>
    <t>Rótulos de Linha</t>
  </si>
  <si>
    <t>Total Geral</t>
  </si>
  <si>
    <t>Soma de Time Actual</t>
  </si>
  <si>
    <t>Soma de Total Cost</t>
  </si>
  <si>
    <t>Sietech Total</t>
  </si>
  <si>
    <t>FF Total</t>
  </si>
  <si>
    <t>NB Total</t>
  </si>
  <si>
    <t>T&amp;M Total</t>
  </si>
  <si>
    <t>BRP2564</t>
  </si>
  <si>
    <t>BRP2565</t>
  </si>
  <si>
    <t>BRP2566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</si>
</sst>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0" fontId="0" fillId="0" borderId="0" xfId="0" pivotButton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</cellXfs>
  <cellStyles count="2">
    <cellStyle name="Normal" xfId="0" builtinId="0"/>
    <cellStyle name="Vírgula" xfId="1" builtinId="3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m/d/yyyy"/>
    </dxf>
    <dxf>
      <numFmt numFmtId="167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755.37818310185" createdVersion="6" refreshedVersion="8" minRefreshableVersion="3" recordCount="1276" xr:uid="{47A45A28-E6F0-4E22-A9F2-09C84849F061}">
  <cacheSource type="worksheet">
    <worksheetSource ref="A1:R1048576" sheet="Marco 2025"/>
  </cacheSource>
  <cacheFields count="18">
    <cacheField name="FunnelID" numFmtId="0">
      <sharedItems containsBlank="1" count="55">
        <s v="4522-VCK452"/>
        <s v="876-VCK490"/>
        <s v="458-VCK492"/>
        <s v="448-VCK494"/>
        <s v="8168-VCK514"/>
        <s v="NB-BITRIX"/>
        <s v="NB-BPO e PMO"/>
        <s v="NB-Consultoria-Tec&amp;Dev"/>
        <s v="NBP-PE-PLAN12"/>
        <s v="NBP-PEVO97"/>
        <s v="4328-VCK1760"/>
        <m/>
        <s v="7958-VCK446" u="1"/>
        <s v="952-VCK446" u="1"/>
        <s v="7962-VCK448" u="1"/>
        <s v="2174-VCK448" u="1"/>
        <s v="434-VCK448" u="1"/>
        <s v="NB-Suporte" u="1"/>
        <s v="472-VCK450" u="1"/>
        <s v="8038-VCK452" u="1"/>
        <s v="8152-VCK452" u="1"/>
        <s v="131-VckAut" u="1"/>
        <s v="4460-vck460" u="1"/>
        <s v="068-vckcar" u="1"/>
        <s v="496-VCK472" u="1"/>
        <s v="8172-VCK476" u="1"/>
        <s v="872-VCK478" u="1"/>
        <s v="8040-VCK490" u="1"/>
        <s v="4480-VCK504" u="1"/>
        <s v="12558-VCK508" u="1"/>
        <s v="8120-VCK508" u="1"/>
        <s v="872-VCK514" u="1"/>
        <s v="002-VCKDSCPQAD" u="1"/>
        <s v="8274-VCK638" u="1"/>
        <s v="8296-VCK638" u="1"/>
        <s v="USP15072" u="1"/>
        <s v="436-VCK520" u="1"/>
        <s v="610-VCK528" u="1"/>
        <s v="4776-VCK488" u="1"/>
        <s v="NBP-CAIOBA" u="1"/>
        <s v="NBP-HERA" u="1"/>
        <s v="NBP-PE-PLAN10" u="1"/>
        <s v="NBP-PEVO116" u="1"/>
        <s v="NBP-PLAN107" u="1"/>
        <s v="NBP-PLAN-115" u="1"/>
        <s v="NBP-PREVENDA" u="1"/>
        <s v="NB-Projetos e Consultoria" u="1"/>
        <s v="NBP-WEBUI-LOC" u="1"/>
        <s v="NB-Scrum-Dev" u="1"/>
        <s v="NB-Squad_DevTec" u="1"/>
        <s v="NB-Treinamento" u="1"/>
        <s v="NB-Universidades" u="1"/>
        <s v="NB-VCC" u="1"/>
        <s v="SUP-Outros Projetos" u="1"/>
        <s v="SUP-Treinamento" u="1"/>
      </sharedItems>
    </cacheField>
    <cacheField name="Work Date" numFmtId="0">
      <sharedItems containsNonDate="0" containsDate="1" containsString="0" containsBlank="1" minDate="2025-03-03T00:00:00" maxDate="2025-04-01T00:00:00"/>
    </cacheField>
    <cacheField name="Date TimeSheet" numFmtId="0">
      <sharedItems containsNonDate="0" containsDate="1" containsString="0" containsBlank="1" minDate="2025-03-10T00:00:00" maxDate="2025-04-03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3" maxValue="3"/>
    </cacheField>
    <cacheField name="Day" numFmtId="0">
      <sharedItems containsString="0" containsBlank="1" containsNumber="1" containsInteger="1" minValue="3" maxValue="31"/>
    </cacheField>
    <cacheField name="Week" numFmtId="0">
      <sharedItems containsString="0" containsBlank="1" containsNumber="1" containsInteger="1" minValue="10" maxValue="13"/>
    </cacheField>
    <cacheField name="Time Actual" numFmtId="0">
      <sharedItems containsString="0" containsBlank="1" containsNumber="1" containsInteger="1" minValue="1" maxValue="8"/>
    </cacheField>
    <cacheField name="Company" numFmtId="0">
      <sharedItems containsBlank="1" count="33">
        <s v="Sietech"/>
        <m/>
        <s v="DMS" u="1"/>
        <s v="Diando" u="1"/>
        <s v="TFA" u="1"/>
        <s v="PHL" u="1"/>
        <s v="WTK" u="1"/>
        <s v="RUAH" u="1"/>
        <s v="NHvala" u="1"/>
        <s v="Ana Gloria" u="1"/>
        <s v="Dzyon" u="1"/>
        <s v="CZ" u="1"/>
        <s v="NEO" u="1"/>
        <s v="Web Working" u="1"/>
        <s v="GMB SERVICOS INFORMATICA" u="1"/>
        <s v="Domain Informatica" u="1"/>
        <s v="LF Solucoes TI" u="1"/>
        <s v="LAAM" u="1"/>
        <s v="Castrofrade TP" u="1"/>
        <s v="CYP" u="1"/>
        <s v="SIT" u="1"/>
        <s v="Bright Eleven" u="1"/>
        <s v="Ceta Consultoria" u="1"/>
        <s v="PamelaPC" u="1"/>
        <s v="ISL" u="1"/>
        <s v="Vockan Consulting" u="1"/>
        <s v="KRMC" u="1"/>
        <s v="Guilherme Loss Cons Tec Ltda" u="1"/>
        <s v="DR Tecnologia" u="1"/>
        <s v="LGATTI" u="1"/>
        <s v="High Business" u="1"/>
        <s v="Bruno Bonadio Lopez" u="1"/>
        <s v="ZM Consultoria" u="1"/>
      </sharedItems>
    </cacheField>
    <cacheField name="Resource Name" numFmtId="0">
      <sharedItems containsBlank="1" count="49">
        <s v="Nelson Simoes"/>
        <m/>
        <s v="Reginaldo Almeida-vk" u="1"/>
        <s v="Andre Parpinelli-vk" u="1"/>
        <s v="Benedito Souza-vk" u="1"/>
        <s v="Fabio Costa-vk" u="1"/>
        <s v="Leandro Senna-vk" u="1"/>
        <s v="Diogo Aguiar-vk" u="1"/>
        <s v="Eduardo Provenzano-vk" u="1"/>
        <s v="Ederson Alexandre-vk" u="1"/>
        <s v="Walter Augusto-vk" u="1"/>
        <s v="Higo Scheunemann-vk" u="1"/>
        <s v="Thiago Queiros-vk" u="1"/>
        <s v="Nayara Hvala" u="1"/>
        <s v="Ana Bispo" u="1"/>
        <s v="Marco Sato" u="1"/>
        <s v="Walter Braz-vk" u="1"/>
        <s v="Edson Risso-vk" u="1"/>
        <s v="Giovana Rodrigues" u="1"/>
        <s v="Gabriel Brigo-vk" u="1"/>
        <s v="Marcia Silva-vk" u="1"/>
        <s v="Jan Lustig" u="1"/>
        <s v="Leandro Francischinelli" u="1"/>
        <s v="Luiz Alfredo-vk" u="1"/>
        <s v="Eduardo Moreno-vk" u="1"/>
        <s v="Marcelo Frade" u="1"/>
        <s v="Carlos Pitondo-vk" u="1"/>
        <s v="Pedro Silva-vk" u="1"/>
        <s v="Renato Louzada-vk" u="1"/>
        <s v="Laura-Rodriguez_SIT_MEX" u="1"/>
        <s v="Jefte Villar-vk" u="1"/>
        <s v="Sergio Ziroldo-vk" u="1"/>
        <s v="Clovis Silva-vk" u="1"/>
        <s v="Leonardo Parrillo-vk" u="1"/>
        <s v="Geraldo Silva-vk" u="1"/>
        <s v="Pamela Pallazi" u="1"/>
        <s v="Ismael Lopes-vk" u="1"/>
        <s v="Vinicius Knipers-vk" u="1"/>
        <s v="Tiago Semidei" u="1"/>
        <s v="Sildemar Sousa-vk" u="1"/>
        <s v="Kauane Rocha" u="1"/>
        <s v="Guilherme Loss" u="1"/>
        <s v="Daniel Amaral-vk" u="1"/>
        <s v="Lincoln Gatti" u="1"/>
        <s v="Nilson Santana-vk" u="1"/>
        <s v="Allan Oliveira" u="1"/>
        <s v="Bruno Bonadio" u="1"/>
        <s v="Carlos Zambelli-vk" u="1"/>
        <s v="Marcos Xavier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99.83" maxValue="157"/>
    </cacheField>
    <cacheField name="CostRate w/ Taxes" numFmtId="0">
      <sharedItems containsString="0" containsBlank="1" containsNumber="1" minValue="30.303030303030305" maxValue="5200" count="47">
        <n v="173.00275482093664"/>
        <n v="110"/>
        <m/>
        <n v="182.99724517906336" u="1"/>
        <n v="114.99724517906337" u="1"/>
        <n v="82.942148760330582" u="1"/>
        <n v="140" u="1"/>
        <n v="401.90633608815432" u="1"/>
        <n v="88.495867768595048" u="1"/>
        <n v="56" u="1"/>
        <n v="53.619834710743802" u="1"/>
        <n v="124" u="1"/>
        <n v="150" u="1"/>
        <n v="47.471074380165291" u="1"/>
        <n v="121.9504132231405" u="1"/>
        <n v="126.99724517906337" u="1"/>
        <n v="160" u="1"/>
        <n v="165.00275482093664" u="1"/>
        <n v="120.00000000000001" u="1"/>
        <n v="225" u="1"/>
        <n v="178.99724517906336" u="1"/>
        <n v="142.99724517906338" u="1"/>
        <n v="119" u="1"/>
        <n v="260.39669421487605" u="1"/>
        <n v="93.002754820936644" u="1"/>
        <n v="222" u="1"/>
        <n v="414.32506887052341" u="1"/>
        <n v="145.00055096418731" u="1"/>
        <n v="190" u="1"/>
        <n v="127.84573002754821" u="1"/>
        <n v="5200" u="1"/>
        <n v="96.000000000000014" u="1"/>
        <n v="109.78512396694215" u="1"/>
        <n v="61.663911845730027" u="1"/>
        <n v="65.002754820936644" u="1"/>
        <n v="32.143250688705237" u="1"/>
        <n v="771.42699724517911" u="1"/>
        <n v="30.303030303030305" u="1"/>
        <n v="98.457300275482083" u="1"/>
        <n v="274.99724517906338" u="1"/>
        <n v="126" u="1"/>
        <n v="157" u="1"/>
        <n v="130" u="1"/>
        <n v="374.99724517906338" u="1"/>
        <n v="180" u="1"/>
        <n v="122" u="1"/>
        <n v="121.00000000000001" u="1"/>
      </sharedItems>
    </cacheField>
    <cacheField name="Total Cost" numFmtId="0">
      <sharedItems containsString="0" containsBlank="1" containsNumber="1" minValue="110" maxValue="880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6">
  <r>
    <x v="0"/>
    <d v="2025-03-06T00:00:00"/>
    <d v="2025-03-10T00:00:00"/>
    <s v="SOW"/>
    <n v="2025"/>
    <n v="3"/>
    <n v="6"/>
    <n v="10"/>
    <n v="1"/>
    <x v="0"/>
    <x v="0"/>
    <s v="Project Manager"/>
    <s v="Alinhamento com toda equipe funcional e dev envolvida no backlog aptiv"/>
    <n v="157"/>
    <x v="0"/>
    <n v="173.00275482093664"/>
    <s v="APTIV Man e Serv de Distr. Ltda"/>
    <x v="0"/>
  </r>
  <r>
    <x v="0"/>
    <d v="2025-03-05T00:00:00"/>
    <d v="2025-03-10T00:00:00"/>
    <s v="SOW"/>
    <n v="2025"/>
    <n v="3"/>
    <n v="5"/>
    <n v="10"/>
    <n v="1"/>
    <x v="0"/>
    <x v="0"/>
    <s v="Project Manager"/>
    <s v="Alinhamento de volume contratual"/>
    <n v="157"/>
    <x v="0"/>
    <n v="173.00275482093664"/>
    <s v="APTIV Man e Serv de Distr. Ltda"/>
    <x v="0"/>
  </r>
  <r>
    <x v="0"/>
    <d v="2025-03-03T00:00:00"/>
    <d v="2025-03-10T00:00:00"/>
    <s v="SOW"/>
    <n v="2025"/>
    <n v="3"/>
    <n v="3"/>
    <n v="10"/>
    <n v="2"/>
    <x v="0"/>
    <x v="0"/>
    <s v="Project Manager"/>
    <s v="Plano de trabalho para quitação de backlog"/>
    <n v="157"/>
    <x v="0"/>
    <n v="346.00550964187329"/>
    <s v="APTIV Man e Serv de Distr. Ltda"/>
    <x v="0"/>
  </r>
  <r>
    <x v="0"/>
    <d v="2025-03-13T00:00:00"/>
    <d v="2025-03-17T00:00:00"/>
    <s v="SOW"/>
    <n v="2025"/>
    <n v="3"/>
    <n v="13"/>
    <n v="11"/>
    <n v="2"/>
    <x v="0"/>
    <x v="0"/>
    <s v="Project Manager"/>
    <s v="Praparação de material para reunião presencial e alinhamento com time sobre back log, dev e BPO"/>
    <n v="157"/>
    <x v="0"/>
    <n v="346.00550964187329"/>
    <s v="APTIV Man e Serv de Distr. Ltda"/>
    <x v="0"/>
  </r>
  <r>
    <x v="1"/>
    <d v="2025-03-19T00:00:00"/>
    <d v="2025-03-24T00:00:00"/>
    <s v="SOW"/>
    <n v="2025"/>
    <n v="3"/>
    <n v="19"/>
    <n v="12"/>
    <n v="1"/>
    <x v="0"/>
    <x v="0"/>
    <s v="Project Manager"/>
    <s v="Alinhamento de demandas Freud com Parrillo."/>
    <n v="157"/>
    <x v="0"/>
    <n v="173.00275482093664"/>
    <s v="Freudenberg Nok Comp Br Ltd"/>
    <x v="1"/>
  </r>
  <r>
    <x v="2"/>
    <d v="2025-03-12T00:00:00"/>
    <d v="2025-03-17T00:00:00"/>
    <s v="SOW"/>
    <n v="2025"/>
    <n v="3"/>
    <n v="12"/>
    <n v="11"/>
    <n v="1"/>
    <x v="0"/>
    <x v="0"/>
    <s v="Project Manager"/>
    <s v="Alinhamento sobre pacotes para conversão"/>
    <n v="157"/>
    <x v="0"/>
    <n v="173.00275482093664"/>
    <s v="Hanon Systems Climatizacao Do"/>
    <x v="0"/>
  </r>
  <r>
    <x v="3"/>
    <d v="2025-03-13T00:00:00"/>
    <d v="2025-03-17T00:00:00"/>
    <s v="SOW"/>
    <n v="2025"/>
    <n v="3"/>
    <n v="13"/>
    <n v="11"/>
    <n v="1"/>
    <x v="0"/>
    <x v="0"/>
    <s v="Program Manager"/>
    <s v="Alinhamento sobre scan de customizados com Parpinelli"/>
    <n v="157"/>
    <x v="0"/>
    <n v="173.00275482093664"/>
    <s v="HUF do Brasil Ltda"/>
    <x v="0"/>
  </r>
  <r>
    <x v="4"/>
    <d v="2025-03-27T00:00:00"/>
    <d v="2025-03-31T00:00:00"/>
    <s v="SOW"/>
    <n v="2025"/>
    <n v="3"/>
    <n v="27"/>
    <n v="13"/>
    <n v="1"/>
    <x v="0"/>
    <x v="0"/>
    <s v="Project Manager"/>
    <s v="Alinhamento de demandas de BPO"/>
    <n v="157"/>
    <x v="0"/>
    <n v="173.00275482093664"/>
    <s v="OXBO DO BRASIL EQUIPAMENTOS"/>
    <x v="0"/>
  </r>
  <r>
    <x v="5"/>
    <d v="2025-03-03T00:00:00"/>
    <d v="2025-03-10T00:00:00"/>
    <s v="SOW"/>
    <n v="2025"/>
    <n v="3"/>
    <n v="3"/>
    <n v="10"/>
    <n v="1"/>
    <x v="0"/>
    <x v="0"/>
    <s v="Project Manager"/>
    <s v="Atualização Bitrix"/>
    <n v="99.83"/>
    <x v="1"/>
    <n v="110"/>
    <s v="Vockan Consulting Ltda"/>
    <x v="2"/>
  </r>
  <r>
    <x v="5"/>
    <d v="2025-03-13T00:00:00"/>
    <d v="2025-03-17T00:00:00"/>
    <s v="SOW"/>
    <n v="2025"/>
    <n v="3"/>
    <n v="13"/>
    <n v="11"/>
    <n v="1"/>
    <x v="0"/>
    <x v="0"/>
    <s v="Project Manager"/>
    <s v="Atualização de cards"/>
    <n v="99.83"/>
    <x v="1"/>
    <n v="110"/>
    <s v="Vockan Consulting Ltda"/>
    <x v="2"/>
  </r>
  <r>
    <x v="5"/>
    <d v="2025-03-06T00:00:00"/>
    <d v="2025-03-10T00:00:00"/>
    <s v="SOW"/>
    <n v="2025"/>
    <n v="3"/>
    <n v="6"/>
    <n v="10"/>
    <n v="1"/>
    <x v="0"/>
    <x v="0"/>
    <s v="Project Manager"/>
    <s v="Atualização de cards Bitrix"/>
    <n v="99.83"/>
    <x v="1"/>
    <n v="110"/>
    <s v="Vockan Consulting Ltda"/>
    <x v="2"/>
  </r>
  <r>
    <x v="5"/>
    <d v="2025-03-14T00:00:00"/>
    <d v="2025-03-17T00:00:00"/>
    <s v="SOW"/>
    <n v="2025"/>
    <n v="3"/>
    <n v="14"/>
    <n v="11"/>
    <n v="2"/>
    <x v="0"/>
    <x v="0"/>
    <s v="Project Manager"/>
    <s v="Atualização de cards e planilha de resumo"/>
    <n v="99.83"/>
    <x v="1"/>
    <n v="220"/>
    <s v="Vockan Consulting Ltda"/>
    <x v="2"/>
  </r>
  <r>
    <x v="5"/>
    <d v="2025-03-07T00:00:00"/>
    <d v="2025-03-10T00:00:00"/>
    <s v="SOW"/>
    <n v="2025"/>
    <n v="3"/>
    <n v="7"/>
    <n v="10"/>
    <n v="1"/>
    <x v="0"/>
    <x v="0"/>
    <s v="Project Manager"/>
    <s v="Atualização de planilha YTD"/>
    <n v="99.83"/>
    <x v="1"/>
    <n v="110"/>
    <s v="Vockan Consulting Ltda"/>
    <x v="2"/>
  </r>
  <r>
    <x v="5"/>
    <d v="2025-03-19T00:00:00"/>
    <d v="2025-03-24T00:00:00"/>
    <s v="SOW"/>
    <n v="2025"/>
    <n v="3"/>
    <n v="19"/>
    <n v="12"/>
    <n v="1"/>
    <x v="0"/>
    <x v="0"/>
    <s v="Project Manager"/>
    <s v="Fup Bitrix"/>
    <n v="99.83"/>
    <x v="1"/>
    <n v="110"/>
    <s v="Vockan Consulting Ltda"/>
    <x v="2"/>
  </r>
  <r>
    <x v="5"/>
    <d v="2025-03-26T00:00:00"/>
    <d v="2025-03-31T00:00:00"/>
    <s v="SOW"/>
    <n v="2025"/>
    <n v="3"/>
    <n v="26"/>
    <n v="13"/>
    <n v="2"/>
    <x v="0"/>
    <x v="0"/>
    <s v="Project Manager"/>
    <s v="FUP Bitrix e reunião com diretores para report"/>
    <n v="99.83"/>
    <x v="1"/>
    <n v="220"/>
    <s v="Vockan Consulting Ltda"/>
    <x v="2"/>
  </r>
  <r>
    <x v="6"/>
    <d v="2025-03-12T00:00:00"/>
    <d v="2025-03-17T00:00:00"/>
    <s v="CO01"/>
    <n v="2025"/>
    <n v="3"/>
    <n v="12"/>
    <n v="11"/>
    <n v="1"/>
    <x v="0"/>
    <x v="0"/>
    <s v="Project Manager"/>
    <s v="Alinhamento Aptiv"/>
    <n v="99.83"/>
    <x v="1"/>
    <n v="110"/>
    <s v="Vockan Consulting Ltda"/>
    <x v="2"/>
  </r>
  <r>
    <x v="6"/>
    <d v="2025-03-17T00:00:00"/>
    <d v="2025-03-24T00:00:00"/>
    <s v="CO01"/>
    <n v="2025"/>
    <n v="3"/>
    <n v="17"/>
    <n v="12"/>
    <n v="2"/>
    <x v="0"/>
    <x v="0"/>
    <s v="Project Manager"/>
    <s v="Alinhamento com Daniel e Guilherme, checkpoint Aptiv"/>
    <n v="99.83"/>
    <x v="1"/>
    <n v="220"/>
    <s v="Vockan Consulting Ltda"/>
    <x v="2"/>
  </r>
  <r>
    <x v="6"/>
    <d v="2025-03-05T00:00:00"/>
    <d v="2025-03-10T00:00:00"/>
    <s v="CO01"/>
    <n v="2025"/>
    <n v="3"/>
    <n v="5"/>
    <n v="10"/>
    <n v="3"/>
    <x v="0"/>
    <x v="0"/>
    <s v="Project Manager"/>
    <s v="Alinhamento com Fábio, Fup oportunidades, atualização de propostas"/>
    <n v="99.83"/>
    <x v="1"/>
    <n v="330"/>
    <s v="Vockan Consulting Ltda"/>
    <x v="2"/>
  </r>
  <r>
    <x v="6"/>
    <d v="2025-03-26T00:00:00"/>
    <d v="2025-03-31T00:00:00"/>
    <s v="CO01"/>
    <n v="2025"/>
    <n v="3"/>
    <n v="26"/>
    <n v="13"/>
    <n v="3"/>
    <x v="0"/>
    <x v="0"/>
    <s v="Project Manager"/>
    <s v="Alinhamento com Pamela, taskforce Aptiv, reunião KYB, alinhamento com Fábio"/>
    <n v="99.83"/>
    <x v="1"/>
    <n v="330"/>
    <s v="Vockan Consulting Ltda"/>
    <x v="2"/>
  </r>
  <r>
    <x v="6"/>
    <d v="2025-03-07T00:00:00"/>
    <d v="2025-03-10T00:00:00"/>
    <s v="CO01"/>
    <n v="2025"/>
    <n v="3"/>
    <n v="7"/>
    <n v="10"/>
    <n v="8"/>
    <x v="0"/>
    <x v="0"/>
    <s v="Project Manager"/>
    <s v="Alinhamento HUF, plano de trabalho de medição de produtividade, SLA dinâmico , pagamento fracionado de demandas, reunião com Aptiv para fechamento de escopo de taskforce"/>
    <n v="99.83"/>
    <x v="1"/>
    <n v="880"/>
    <s v="Vockan Consulting Ltda"/>
    <x v="2"/>
  </r>
  <r>
    <x v="6"/>
    <d v="2025-03-31T00:00:00"/>
    <d v="2025-04-02T00:00:00"/>
    <s v="CO01"/>
    <n v="2025"/>
    <n v="3"/>
    <n v="31"/>
    <n v="13"/>
    <n v="6"/>
    <x v="0"/>
    <x v="0"/>
    <s v="Project Manager"/>
    <s v="Alinhamento proposta Persio, alinhamento Agilista, tratamento de backlog aptiv"/>
    <n v="99.83"/>
    <x v="1"/>
    <n v="660"/>
    <s v="Vockan Consulting Ltda"/>
    <x v="2"/>
  </r>
  <r>
    <x v="6"/>
    <d v="2025-03-20T00:00:00"/>
    <d v="2025-03-24T00:00:00"/>
    <s v="CO01"/>
    <n v="2025"/>
    <n v="3"/>
    <n v="20"/>
    <n v="12"/>
    <n v="5"/>
    <x v="0"/>
    <x v="0"/>
    <s v="Project Manager"/>
    <s v="Apresentação Clarios, alinhamento horas Aptiv"/>
    <n v="99.83"/>
    <x v="1"/>
    <n v="550"/>
    <s v="Vockan Consulting Ltda"/>
    <x v="2"/>
  </r>
  <r>
    <x v="6"/>
    <d v="2025-03-03T00:00:00"/>
    <d v="2025-03-10T00:00:00"/>
    <s v="CO01"/>
    <n v="2025"/>
    <n v="3"/>
    <n v="3"/>
    <n v="10"/>
    <n v="3"/>
    <x v="0"/>
    <x v="0"/>
    <s v="Project Manager"/>
    <s v="Atualização de v-control, propostas e aprovações, alinhamento com Fábio"/>
    <n v="99.83"/>
    <x v="1"/>
    <n v="330"/>
    <s v="Vockan Consulting Ltda"/>
    <x v="2"/>
  </r>
  <r>
    <x v="6"/>
    <d v="2025-03-24T00:00:00"/>
    <d v="2025-03-31T00:00:00"/>
    <s v="CO01"/>
    <n v="2025"/>
    <n v="3"/>
    <n v="24"/>
    <n v="13"/>
    <n v="4"/>
    <x v="0"/>
    <x v="0"/>
    <s v="Project Manager"/>
    <s v="Controle de demandas Aptiv, alinhamento com Fábio, alinhamento Lifetech, reunião taskforce aptiv"/>
    <n v="99.83"/>
    <x v="1"/>
    <n v="440"/>
    <s v="Vockan Consulting Ltda"/>
    <x v="2"/>
  </r>
  <r>
    <x v="6"/>
    <d v="2025-03-18T00:00:00"/>
    <d v="2025-03-24T00:00:00"/>
    <s v="CO01"/>
    <n v="2025"/>
    <n v="3"/>
    <n v="18"/>
    <n v="12"/>
    <n v="4"/>
    <x v="0"/>
    <x v="0"/>
    <s v="Project Manager"/>
    <s v="Form levantamento Funcional BPO, !:1 Fabio, alinhamento BPO"/>
    <n v="99.83"/>
    <x v="1"/>
    <n v="440"/>
    <s v="Vockan Consulting Ltda"/>
    <x v="2"/>
  </r>
  <r>
    <x v="6"/>
    <d v="2025-03-21T00:00:00"/>
    <d v="2025-03-24T00:00:00"/>
    <s v="CO01"/>
    <n v="2025"/>
    <n v="3"/>
    <n v="21"/>
    <n v="12"/>
    <n v="5"/>
    <x v="0"/>
    <x v="0"/>
    <s v="Project Manager"/>
    <s v="Onboarding, Felipe, renovação Amvac, alinhamento aptiv, reunião com funcionais"/>
    <n v="99.83"/>
    <x v="1"/>
    <n v="550"/>
    <s v="Vockan Consulting Ltda"/>
    <x v="2"/>
  </r>
  <r>
    <x v="6"/>
    <d v="2025-03-06T00:00:00"/>
    <d v="2025-03-10T00:00:00"/>
    <s v="CO01"/>
    <n v="2025"/>
    <n v="3"/>
    <n v="6"/>
    <n v="10"/>
    <n v="7"/>
    <x v="0"/>
    <x v="0"/>
    <s v="Project Manager"/>
    <s v="PPT para workshop agil, apresentação de workshop, reunião sobre CX e playbook exchange, on boarding com Pamela, Alinhamento com Fabio sobre backlog aptiv"/>
    <n v="99.83"/>
    <x v="1"/>
    <n v="770"/>
    <s v="Vockan Consulting Ltda"/>
    <x v="2"/>
  </r>
  <r>
    <x v="6"/>
    <d v="2025-03-19T00:00:00"/>
    <d v="2025-03-24T00:00:00"/>
    <s v="CO01"/>
    <n v="2025"/>
    <n v="3"/>
    <n v="19"/>
    <n v="12"/>
    <n v="6"/>
    <x v="0"/>
    <x v="0"/>
    <s v="Project Manager"/>
    <s v="Proposta Clarios, alinhamento com Anurag, Vaga Funcional com Alexia, reunião Aptiv"/>
    <n v="99.83"/>
    <x v="1"/>
    <n v="660"/>
    <s v="Vockan Consulting Ltda"/>
    <x v="2"/>
  </r>
  <r>
    <x v="6"/>
    <d v="2025-03-27T00:00:00"/>
    <d v="2025-03-31T00:00:00"/>
    <s v="CO01"/>
    <n v="2025"/>
    <n v="3"/>
    <n v="27"/>
    <n v="13"/>
    <n v="2"/>
    <x v="0"/>
    <x v="0"/>
    <s v="Project Manager"/>
    <s v="Renovação Amvac, reunião com Fabio"/>
    <n v="99.83"/>
    <x v="1"/>
    <n v="220"/>
    <s v="Vockan Consulting Ltda"/>
    <x v="2"/>
  </r>
  <r>
    <x v="6"/>
    <d v="2025-03-14T00:00:00"/>
    <d v="2025-03-17T00:00:00"/>
    <s v="CO01"/>
    <n v="2025"/>
    <n v="3"/>
    <n v="14"/>
    <n v="11"/>
    <n v="3"/>
    <x v="0"/>
    <x v="0"/>
    <s v="Project Manager"/>
    <s v="Reunião de alinhamento de projetos V-control, alinhamento aptiv, alinhamento com Fabio"/>
    <n v="99.83"/>
    <x v="1"/>
    <n v="330"/>
    <s v="Vockan Consulting Ltda"/>
    <x v="2"/>
  </r>
  <r>
    <x v="6"/>
    <d v="2025-03-28T00:00:00"/>
    <d v="2025-03-31T00:00:00"/>
    <s v="CO01"/>
    <n v="2025"/>
    <n v="3"/>
    <n v="28"/>
    <n v="13"/>
    <n v="4"/>
    <x v="0"/>
    <x v="0"/>
    <s v="Project Manager"/>
    <s v="Revisão V-control, Alinhamento com Cestari, reunião com Fábio, Reunião com PHL"/>
    <n v="99.83"/>
    <x v="1"/>
    <n v="440"/>
    <s v="Vockan Consulting Ltda"/>
    <x v="2"/>
  </r>
  <r>
    <x v="6"/>
    <d v="2025-03-10T00:00:00"/>
    <d v="2025-03-17T00:00:00"/>
    <s v="CO01"/>
    <n v="2025"/>
    <n v="3"/>
    <n v="10"/>
    <n v="11"/>
    <n v="8"/>
    <x v="0"/>
    <x v="0"/>
    <s v="Project Manager"/>
    <s v="Treinamento Web UI, alinhamento huf e hanon, reunião aptiv"/>
    <n v="99.83"/>
    <x v="1"/>
    <n v="880"/>
    <s v="Vockan Consulting Ltda"/>
    <x v="2"/>
  </r>
  <r>
    <x v="6"/>
    <d v="2025-03-11T00:00:00"/>
    <d v="2025-03-17T00:00:00"/>
    <s v="CO01"/>
    <n v="2025"/>
    <n v="3"/>
    <n v="11"/>
    <n v="11"/>
    <n v="6"/>
    <x v="0"/>
    <x v="0"/>
    <s v="Project Manager"/>
    <s v="Visita escritorio Huf, visita Clarios Sorocaba"/>
    <n v="99.83"/>
    <x v="1"/>
    <n v="660"/>
    <s v="Vockan Consulting Ltda"/>
    <x v="2"/>
  </r>
  <r>
    <x v="7"/>
    <d v="2025-03-18T00:00:00"/>
    <d v="2025-03-24T00:00:00"/>
    <s v="NB01"/>
    <n v="2025"/>
    <n v="3"/>
    <n v="18"/>
    <n v="12"/>
    <n v="5"/>
    <x v="0"/>
    <x v="0"/>
    <s v="Program Manager"/>
    <s v="1:1 André, reunião com Progress, reunião com Giovana e Parpinelli para controle de produtividade, scrum, reunião Aptiv"/>
    <n v="99.83"/>
    <x v="1"/>
    <n v="550"/>
    <s v="Vockan Consulting Ltda"/>
    <x v="2"/>
  </r>
  <r>
    <x v="7"/>
    <d v="2025-03-13T00:00:00"/>
    <d v="2025-03-17T00:00:00"/>
    <s v="NB01"/>
    <n v="2025"/>
    <n v="3"/>
    <n v="13"/>
    <n v="11"/>
    <n v="2"/>
    <x v="0"/>
    <x v="0"/>
    <s v="Program Manager"/>
    <s v="1:1 André, Scrum, alinhamento aptiv"/>
    <n v="99.83"/>
    <x v="1"/>
    <n v="220"/>
    <s v="Vockan Consulting Ltda"/>
    <x v="2"/>
  </r>
  <r>
    <x v="7"/>
    <d v="2025-03-03T00:00:00"/>
    <d v="2025-03-10T00:00:00"/>
    <s v="NB01"/>
    <n v="2025"/>
    <n v="3"/>
    <n v="3"/>
    <n v="10"/>
    <n v="2"/>
    <x v="0"/>
    <x v="0"/>
    <s v="Program Manager"/>
    <s v="Atualização de v-control, propostas e aprovações"/>
    <n v="99.83"/>
    <x v="1"/>
    <n v="220"/>
    <s v="Vockan Consulting Ltda"/>
    <x v="2"/>
  </r>
  <r>
    <x v="7"/>
    <d v="2025-03-11T00:00:00"/>
    <d v="2025-03-17T00:00:00"/>
    <s v="NB01"/>
    <n v="2025"/>
    <n v="3"/>
    <n v="11"/>
    <n v="11"/>
    <n v="2"/>
    <x v="0"/>
    <x v="0"/>
    <s v="Program Manager"/>
    <s v="Fechamento Sprint, alinhamento Progress"/>
    <n v="99.83"/>
    <x v="1"/>
    <n v="220"/>
    <s v="Vockan Consulting Ltda"/>
    <x v="2"/>
  </r>
  <r>
    <x v="7"/>
    <d v="2025-03-27T00:00:00"/>
    <d v="2025-03-31T00:00:00"/>
    <s v="NB01"/>
    <n v="2025"/>
    <n v="3"/>
    <n v="27"/>
    <n v="13"/>
    <n v="6"/>
    <x v="0"/>
    <x v="0"/>
    <s v="Program Manager"/>
    <s v="Fechamento Sprint, alinhamento projetos com Fabricio, 1:1 Andre, taskforce aptiv"/>
    <n v="99.83"/>
    <x v="1"/>
    <n v="660"/>
    <s v="Vockan Consulting Ltda"/>
    <x v="2"/>
  </r>
  <r>
    <x v="7"/>
    <d v="2025-03-28T00:00:00"/>
    <d v="2025-03-31T00:00:00"/>
    <s v="NB01"/>
    <n v="2025"/>
    <n v="3"/>
    <n v="28"/>
    <n v="13"/>
    <n v="4"/>
    <x v="0"/>
    <x v="0"/>
    <s v="Program Manager"/>
    <s v="FY25 com Alan, Scrum, tratamento de taskforce e subida de produção Aptiv com DEVs"/>
    <n v="99.83"/>
    <x v="1"/>
    <n v="440"/>
    <s v="Vockan Consulting Ltda"/>
    <x v="2"/>
  </r>
  <r>
    <x v="7"/>
    <d v="2025-03-12T00:00:00"/>
    <d v="2025-03-17T00:00:00"/>
    <s v="NB01"/>
    <n v="2025"/>
    <n v="3"/>
    <n v="12"/>
    <n v="11"/>
    <n v="8"/>
    <x v="0"/>
    <x v="0"/>
    <s v="Program Manager"/>
    <s v="Planejamento sprint, alinhamento dev C&amp;Z, Reunião aptiv"/>
    <n v="99.83"/>
    <x v="1"/>
    <n v="880"/>
    <s v="Vockan Consulting Ltda"/>
    <x v="2"/>
  </r>
  <r>
    <x v="7"/>
    <d v="2025-03-05T00:00:00"/>
    <d v="2025-03-10T00:00:00"/>
    <s v="NB01"/>
    <n v="2025"/>
    <n v="3"/>
    <n v="5"/>
    <n v="10"/>
    <n v="3"/>
    <x v="0"/>
    <x v="0"/>
    <s v="Program Manager"/>
    <s v="Plano de trabalho para Aptiv, 1:1 André"/>
    <n v="99.83"/>
    <x v="1"/>
    <n v="330"/>
    <s v="Vockan Consulting Ltda"/>
    <x v="2"/>
  </r>
  <r>
    <x v="7"/>
    <d v="2025-03-26T00:00:00"/>
    <d v="2025-03-31T00:00:00"/>
    <s v="NB01"/>
    <n v="2025"/>
    <n v="3"/>
    <n v="26"/>
    <n v="13"/>
    <n v="3"/>
    <x v="0"/>
    <x v="0"/>
    <s v="Program Manager"/>
    <s v="Reunião com Hilmar, scrum, taskforce aptiv com DEVs"/>
    <n v="99.83"/>
    <x v="1"/>
    <n v="330"/>
    <s v="Vockan Consulting Ltda"/>
    <x v="2"/>
  </r>
  <r>
    <x v="7"/>
    <d v="2025-03-20T00:00:00"/>
    <d v="2025-03-24T00:00:00"/>
    <s v="NB01"/>
    <n v="2025"/>
    <n v="3"/>
    <n v="20"/>
    <n v="12"/>
    <n v="4"/>
    <x v="0"/>
    <x v="0"/>
    <s v="Program Manager"/>
    <s v="Reunião gerencial, preparação de mateiral, capacitação Exchange, reunião Aptiv com DEV"/>
    <n v="99.83"/>
    <x v="1"/>
    <n v="440"/>
    <s v="Vockan Consulting Ltda"/>
    <x v="2"/>
  </r>
  <r>
    <x v="7"/>
    <d v="2025-03-24T00:00:00"/>
    <d v="2025-03-31T00:00:00"/>
    <s v="NB01"/>
    <n v="2025"/>
    <n v="3"/>
    <n v="24"/>
    <n v="13"/>
    <n v="4"/>
    <x v="0"/>
    <x v="0"/>
    <s v="Program Manager"/>
    <s v="scrum, tratamento de demandas de desenvolvimento - indicador de produtividade, reunião com time sobre aptiv"/>
    <n v="99.83"/>
    <x v="1"/>
    <n v="440"/>
    <s v="Vockan Consulting Ltda"/>
    <x v="2"/>
  </r>
  <r>
    <x v="7"/>
    <d v="2025-03-21T00:00:00"/>
    <d v="2025-03-24T00:00:00"/>
    <s v="NB01"/>
    <n v="2025"/>
    <n v="3"/>
    <n v="21"/>
    <n v="12"/>
    <n v="5"/>
    <x v="0"/>
    <x v="0"/>
    <s v="Program Manager"/>
    <s v="Scrum, Update viagem, Lista de preços Adium, kick off Valmont, kick off CSP, alinhamento dev aptiv"/>
    <n v="99.83"/>
    <x v="1"/>
    <n v="550"/>
    <s v="Vockan Consulting Ltda"/>
    <x v="2"/>
  </r>
  <r>
    <x v="7"/>
    <d v="2025-03-31T00:00:00"/>
    <d v="2025-04-02T00:00:00"/>
    <s v="NB01"/>
    <n v="2025"/>
    <n v="3"/>
    <n v="31"/>
    <n v="13"/>
    <n v="2"/>
    <x v="0"/>
    <x v="0"/>
    <s v="Program Manager"/>
    <s v="Update viagem, scrum"/>
    <n v="99.83"/>
    <x v="1"/>
    <n v="220"/>
    <s v="Vockan Consulting Ltda"/>
    <x v="2"/>
  </r>
  <r>
    <x v="7"/>
    <d v="2025-03-14T00:00:00"/>
    <d v="2025-03-17T00:00:00"/>
    <s v="NB01"/>
    <n v="2025"/>
    <n v="3"/>
    <n v="14"/>
    <n v="11"/>
    <n v="3"/>
    <x v="0"/>
    <x v="0"/>
    <s v="Program Manager"/>
    <s v="Update viagem, scrum, alinhamento aptiv"/>
    <n v="99.83"/>
    <x v="1"/>
    <n v="330"/>
    <s v="Vockan Consulting Ltda"/>
    <x v="2"/>
  </r>
  <r>
    <x v="7"/>
    <d v="2025-03-17T00:00:00"/>
    <d v="2025-03-24T00:00:00"/>
    <s v="NB01"/>
    <n v="2025"/>
    <n v="3"/>
    <n v="17"/>
    <n v="12"/>
    <n v="6"/>
    <x v="0"/>
    <x v="0"/>
    <s v="Program Manager"/>
    <s v="Workshop Web UI, Scrum, alinhamento demandas Aptiv com DEV"/>
    <n v="99.83"/>
    <x v="1"/>
    <n v="660"/>
    <s v="Vockan Consulting Ltda"/>
    <x v="2"/>
  </r>
  <r>
    <x v="8"/>
    <d v="2025-03-06T00:00:00"/>
    <d v="2025-03-10T00:00:00"/>
    <s v="SOW"/>
    <n v="2025"/>
    <n v="3"/>
    <n v="6"/>
    <n v="10"/>
    <n v="2"/>
    <x v="0"/>
    <x v="0"/>
    <s v="Project Manager"/>
    <s v="Preparação de ppt para sprint semanal, apresentação de propostas BPO op, sprint semanal"/>
    <n v="99.83"/>
    <x v="1"/>
    <n v="220"/>
    <s v="Vockan Consulting Ltda"/>
    <x v="2"/>
  </r>
  <r>
    <x v="8"/>
    <d v="2025-03-27T00:00:00"/>
    <d v="2025-03-31T00:00:00"/>
    <s v="SOW"/>
    <n v="2025"/>
    <n v="3"/>
    <n v="27"/>
    <n v="13"/>
    <n v="1"/>
    <x v="0"/>
    <x v="0"/>
    <s v="Project Manager"/>
    <s v="Sprint semana Exchange BPO Op"/>
    <n v="99.83"/>
    <x v="1"/>
    <n v="110"/>
    <s v="Vockan Consulting Ltda"/>
    <x v="2"/>
  </r>
  <r>
    <x v="8"/>
    <d v="2025-03-13T00:00:00"/>
    <d v="2025-03-17T00:00:00"/>
    <s v="SOW"/>
    <n v="2025"/>
    <n v="3"/>
    <n v="13"/>
    <n v="11"/>
    <n v="1"/>
    <x v="0"/>
    <x v="0"/>
    <s v="Project Manager"/>
    <s v="Sprint Semanal Exchange"/>
    <n v="99.83"/>
    <x v="1"/>
    <n v="110"/>
    <s v="Vockan Consulting Ltda"/>
    <x v="2"/>
  </r>
  <r>
    <x v="9"/>
    <d v="2025-03-25T00:00:00"/>
    <d v="2025-03-31T00:00:00"/>
    <s v="SOW"/>
    <n v="2025"/>
    <n v="3"/>
    <n v="25"/>
    <n v="13"/>
    <n v="8"/>
    <x v="0"/>
    <x v="0"/>
    <s v="Project Manager"/>
    <s v="Participação no Summit, dia inteiro, 8h as 16h"/>
    <n v="99.83"/>
    <x v="1"/>
    <n v="880"/>
    <s v="Vockan Consulting Ltda"/>
    <x v="2"/>
  </r>
  <r>
    <x v="10"/>
    <d v="2025-03-10T00:00:00"/>
    <d v="2025-03-17T00:00:00"/>
    <s v="SOW"/>
    <n v="2025"/>
    <n v="3"/>
    <n v="10"/>
    <n v="11"/>
    <n v="2"/>
    <x v="0"/>
    <x v="0"/>
    <s v="Project Manager"/>
    <s v="Alinhamento de demandas com Leopoldo e com equipe"/>
    <n v="157"/>
    <x v="0"/>
    <n v="346.00550964187329"/>
    <s v="ZF Passive Safety System Brazil Ltda"/>
    <x v="0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  <r>
    <x v="11"/>
    <m/>
    <m/>
    <m/>
    <m/>
    <m/>
    <m/>
    <m/>
    <m/>
    <x v="1"/>
    <x v="1"/>
    <m/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7447-AA43-41AC-864C-1D7F9FD3A290}" name="Tabela dinâmica1" cacheId="208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19" firstHeaderRow="0" firstDataRow="1" firstDataCol="5"/>
  <pivotFields count="18">
    <pivotField axis="axisRow" outline="0" showAll="0" defaultSubtotal="0">
      <items count="55">
        <item m="1" x="32"/>
        <item m="1" x="23"/>
        <item m="1" x="29"/>
        <item m="1" x="21"/>
        <item m="1" x="15"/>
        <item x="10"/>
        <item m="1" x="16"/>
        <item m="1" x="36"/>
        <item m="1" x="22"/>
        <item m="1" x="28"/>
        <item x="3"/>
        <item x="0"/>
        <item x="2"/>
        <item m="1" x="18"/>
        <item m="1" x="38"/>
        <item m="1" x="24"/>
        <item m="1" x="37"/>
        <item m="1" x="12"/>
        <item m="1" x="14"/>
        <item m="1" x="19"/>
        <item m="1" x="27"/>
        <item m="1" x="30"/>
        <item m="1" x="20"/>
        <item x="4"/>
        <item m="1" x="25"/>
        <item m="1" x="33"/>
        <item m="1" x="34"/>
        <item m="1" x="26"/>
        <item m="1" x="31"/>
        <item x="1"/>
        <item m="1" x="13"/>
        <item x="5"/>
        <item x="6"/>
        <item x="7"/>
        <item m="1" x="39"/>
        <item m="1" x="40"/>
        <item m="1" x="41"/>
        <item x="8"/>
        <item m="1" x="42"/>
        <item x="9"/>
        <item m="1" x="43"/>
        <item m="1" x="44"/>
        <item m="1" x="45"/>
        <item m="1" x="46"/>
        <item m="1" x="47"/>
        <item m="1" x="48"/>
        <item m="1" x="49"/>
        <item m="1" x="17"/>
        <item m="1" x="50"/>
        <item m="1" x="51"/>
        <item m="1" x="52"/>
        <item m="1" x="53"/>
        <item m="1" x="54"/>
        <item m="1" x="35"/>
        <item x="11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4">
        <item m="1" x="9"/>
        <item m="1" x="21"/>
        <item m="1" x="31"/>
        <item m="1" x="18"/>
        <item m="1" x="22"/>
        <item m="1" x="19"/>
        <item m="1" x="11"/>
        <item m="1" x="3"/>
        <item m="1" x="2"/>
        <item m="1" x="15"/>
        <item m="1" x="28"/>
        <item h="1" m="1" x="10"/>
        <item m="1" x="14"/>
        <item m="1" x="27"/>
        <item m="1" x="30"/>
        <item m="1" x="24"/>
        <item m="1" x="26"/>
        <item m="1" x="17"/>
        <item m="1" x="16"/>
        <item m="1" x="29"/>
        <item m="1" x="12"/>
        <item m="1" x="8"/>
        <item m="1" x="23"/>
        <item m="1" x="5"/>
        <item m="1" x="7"/>
        <item x="0"/>
        <item h="1" m="1" x="20"/>
        <item m="1" x="4"/>
        <item h="1" m="1" x="25"/>
        <item m="1" x="13"/>
        <item m="1" x="6"/>
        <item m="1" x="32"/>
        <item h="1" x="1"/>
        <item t="default"/>
      </items>
    </pivotField>
    <pivotField axis="axisRow" outline="0" showAll="0" defaultSubtotal="0">
      <items count="49">
        <item m="1" x="45"/>
        <item m="1" x="14"/>
        <item m="1" x="3"/>
        <item m="1" x="4"/>
        <item m="1" x="46"/>
        <item m="1" x="26"/>
        <item m="1" x="47"/>
        <item m="1" x="32"/>
        <item m="1" x="42"/>
        <item m="1" x="7"/>
        <item m="1" x="9"/>
        <item m="1" x="17"/>
        <item m="1" x="24"/>
        <item m="1" x="8"/>
        <item m="1" x="5"/>
        <item m="1" x="19"/>
        <item m="1" x="34"/>
        <item m="1" x="18"/>
        <item m="1" x="41"/>
        <item m="1" x="11"/>
        <item m="1" x="36"/>
        <item m="1" x="21"/>
        <item m="1" x="30"/>
        <item m="1" x="40"/>
        <item m="1" x="29"/>
        <item m="1" x="22"/>
        <item m="1" x="6"/>
        <item m="1" x="33"/>
        <item m="1" x="43"/>
        <item m="1" x="23"/>
        <item m="1" x="25"/>
        <item m="1" x="20"/>
        <item m="1" x="15"/>
        <item m="1" x="48"/>
        <item m="1" x="13"/>
        <item x="0"/>
        <item m="1" x="44"/>
        <item m="1" x="35"/>
        <item m="1" x="27"/>
        <item m="1" x="2"/>
        <item m="1" x="28"/>
        <item m="1" x="31"/>
        <item m="1" x="39"/>
        <item m="1" x="12"/>
        <item m="1" x="38"/>
        <item m="1" x="37"/>
        <item m="1" x="10"/>
        <item m="1" x="16"/>
        <item x="1"/>
      </items>
    </pivotField>
    <pivotField showAll="0"/>
    <pivotField showAll="0"/>
    <pivotField showAll="0"/>
    <pivotField axis="axisRow" outline="0" showAll="0" defaultSubtotal="0">
      <items count="47">
        <item m="1" x="37"/>
        <item m="1" x="35"/>
        <item m="1" x="13"/>
        <item m="1" x="10"/>
        <item m="1" x="9"/>
        <item m="1" x="33"/>
        <item m="1" x="34"/>
        <item m="1" x="5"/>
        <item m="1" x="8"/>
        <item m="1" x="24"/>
        <item m="1" x="31"/>
        <item m="1" x="38"/>
        <item m="1" x="32"/>
        <item x="1"/>
        <item m="1" x="4"/>
        <item m="1" x="22"/>
        <item m="1" x="18"/>
        <item m="1" x="46"/>
        <item m="1" x="14"/>
        <item m="1" x="45"/>
        <item m="1" x="11"/>
        <item m="1" x="40"/>
        <item m="1" x="15"/>
        <item m="1" x="29"/>
        <item m="1" x="42"/>
        <item m="1" x="6"/>
        <item m="1" x="21"/>
        <item m="1" x="27"/>
        <item m="1" x="12"/>
        <item m="1" x="41"/>
        <item m="1" x="16"/>
        <item m="1" x="17"/>
        <item x="0"/>
        <item m="1" x="20"/>
        <item m="1" x="44"/>
        <item m="1" x="3"/>
        <item m="1" x="28"/>
        <item m="1" x="25"/>
        <item m="1" x="19"/>
        <item m="1" x="23"/>
        <item m="1" x="39"/>
        <item m="1" x="43"/>
        <item m="1" x="7"/>
        <item m="1" x="26"/>
        <item m="1" x="36"/>
        <item m="1" x="30"/>
        <item x="2"/>
      </items>
    </pivotField>
    <pivotField dataField="1" showAll="0"/>
    <pivotField showAll="0"/>
    <pivotField axis="axisRow" outline="0" showAll="0">
      <items count="5">
        <item x="0"/>
        <item x="2"/>
        <item x="1"/>
        <item x="3"/>
        <item t="default"/>
      </items>
    </pivotField>
  </pivotFields>
  <rowFields count="5">
    <field x="9"/>
    <field x="17"/>
    <field x="10"/>
    <field x="0"/>
    <field x="14"/>
  </rowFields>
  <rowItems count="16">
    <i>
      <x v="25"/>
      <x/>
      <x v="35"/>
      <x v="5"/>
      <x v="32"/>
    </i>
    <i r="3">
      <x v="10"/>
      <x v="32"/>
    </i>
    <i r="3">
      <x v="11"/>
      <x v="32"/>
    </i>
    <i r="3">
      <x v="12"/>
      <x v="32"/>
    </i>
    <i r="3">
      <x v="23"/>
      <x v="32"/>
    </i>
    <i t="default" r="1">
      <x/>
    </i>
    <i r="1">
      <x v="1"/>
      <x v="35"/>
      <x v="31"/>
      <x v="13"/>
    </i>
    <i r="3">
      <x v="32"/>
      <x v="13"/>
    </i>
    <i r="3">
      <x v="33"/>
      <x v="13"/>
    </i>
    <i r="3">
      <x v="37"/>
      <x v="13"/>
    </i>
    <i r="3">
      <x v="39"/>
      <x v="13"/>
    </i>
    <i t="default" r="1">
      <x v="1"/>
    </i>
    <i r="1">
      <x v="2"/>
      <x v="35"/>
      <x v="29"/>
      <x v="32"/>
    </i>
    <i t="default" r="1">
      <x v="2"/>
    </i>
    <i t="default"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3" numFmtId="164"/>
    <dataField name="Soma de Total Cost" fld="15" baseField="14" baseItem="3" numFmtId="165"/>
  </dataFields>
  <formats count="3">
    <format dxfId="3">
      <pivotArea dataOnly="0" outline="0" fieldPosition="0">
        <references count="1">
          <reference field="9" count="0" defaultSubtotal="1"/>
        </references>
      </pivotArea>
    </format>
    <format dxfId="4">
      <pivotArea dataOnly="0" outline="0" fieldPosition="0">
        <references count="1">
          <reference field="17" count="0" defaultSubtotal="1"/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3" xr16:uid="{BB28265C-0429-469F-B0A6-0AFEC372E450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1" dataBound="0" tableColumnId="18"/>
      <queryTableField id="22" dataBound="0" tableColumnId="19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E55EEC0-4F5E-4910-856A-ED4862BA2445}" name="ApprovedTimeReport_007_202534" displayName="ApprovedTimeReport_007_202534" ref="A1:R54" tableType="queryTable" totalsRowShown="0">
  <autoFilter ref="A1:R54" xr:uid="{6E55EEC0-4F5E-4910-856A-ED4862BA2445}"/>
  <sortState xmlns:xlrd2="http://schemas.microsoft.com/office/spreadsheetml/2017/richdata2" ref="A2:R54">
    <sortCondition ref="Q2:Q54"/>
    <sortCondition ref="A2:A54"/>
  </sortState>
  <tableColumns count="18">
    <tableColumn id="1" xr3:uid="{32915079-F5FA-49B0-B69D-6276FC595AD2}" uniqueName="1" name="FunnelID" queryTableFieldId="1" dataDxfId="15"/>
    <tableColumn id="2" xr3:uid="{667544D8-870A-4868-9624-32458DA0E19C}" uniqueName="2" name="Work Date" queryTableFieldId="2" dataDxfId="14"/>
    <tableColumn id="3" xr3:uid="{6B4F4FF3-42E9-43BA-BA94-F805400871C3}" uniqueName="3" name="Date TimeSheet" queryTableFieldId="3" dataDxfId="13"/>
    <tableColumn id="4" xr3:uid="{1B1852BC-0E0A-4035-8A67-399E56864BC2}" uniqueName="4" name="CCID" queryTableFieldId="4" dataDxfId="12"/>
    <tableColumn id="5" xr3:uid="{6423128B-6EE4-4839-B4E5-DE812F46D2B2}" uniqueName="5" name="Year" queryTableFieldId="5"/>
    <tableColumn id="6" xr3:uid="{579E3354-1DF5-46A0-93E5-11C600A13930}" uniqueName="6" name="Month" queryTableFieldId="6"/>
    <tableColumn id="7" xr3:uid="{8A08DF7A-4B91-42D1-86BE-6990A0F4E1B7}" uniqueName="7" name="Day" queryTableFieldId="7"/>
    <tableColumn id="8" xr3:uid="{15481B79-1F54-49E2-B549-2F792C6FFA1A}" uniqueName="8" name="Week" queryTableFieldId="8"/>
    <tableColumn id="9" xr3:uid="{63CFDB27-9AF9-4C23-8C29-05BA8F45F644}" uniqueName="9" name="Time Actual" queryTableFieldId="9" dataCellStyle="Vírgula"/>
    <tableColumn id="10" xr3:uid="{3CC00502-1379-468D-85F0-98BBAEEFF39B}" uniqueName="10" name="Company" queryTableFieldId="10" dataDxfId="11"/>
    <tableColumn id="11" xr3:uid="{FA271870-7580-44EB-92F3-06990B4FFFA0}" uniqueName="11" name="Resource Name" queryTableFieldId="11" dataDxfId="10"/>
    <tableColumn id="12" xr3:uid="{1B36A3FE-A023-4E7A-8EAF-7BCEF85CC550}" uniqueName="12" name="Role" queryTableFieldId="12" dataDxfId="9"/>
    <tableColumn id="13" xr3:uid="{1308D033-EB40-4CF9-BDF8-79FA6901BFD8}" uniqueName="13" name="Comments" queryTableFieldId="13" dataDxfId="8"/>
    <tableColumn id="14" xr3:uid="{6EEACAFB-FED2-4FCC-B3AA-CF9FF09B985B}" uniqueName="14" name="CostRate" queryTableFieldId="14" dataCellStyle="Vírgula"/>
    <tableColumn id="18" xr3:uid="{25BA3C69-DE8D-4A4F-AB4F-C43BACB0B1B0}" uniqueName="18" name="CostRate w/ Taxes" queryTableFieldId="21" dataCellStyle="Vírgula">
      <calculatedColumnFormula>ApprovedTimeReport_007_202534[[#This Row],[CostRate]]/0.9075</calculatedColumnFormula>
    </tableColumn>
    <tableColumn id="19" xr3:uid="{D519A0BB-5330-43FB-A593-B2B7DA0705D2}" uniqueName="19" name="Total Cost" queryTableFieldId="22" dataCellStyle="Vírgula">
      <calculatedColumnFormula>ApprovedTimeReport_007_202534[[#This Row],[CostRate w/ Taxes]]*ApprovedTimeReport_007_202534[[#This Row],[Time Actual]]</calculatedColumnFormula>
    </tableColumn>
    <tableColumn id="16" xr3:uid="{280A45E7-CA2B-4B8B-9876-FB1F8140DA7E}" uniqueName="16" name="Customer Name" queryTableFieldId="16" dataDxfId="7"/>
    <tableColumn id="17" xr3:uid="{413ACF8C-1DB7-4BBC-9A54-6FDF84F6C3B9}" uniqueName="17" name="Project Type" queryTableFieldId="1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8566-BE21-4B0D-8C43-EFA1C7C53713}">
  <dimension ref="A3:H279"/>
  <sheetViews>
    <sheetView tabSelected="1" workbookViewId="0">
      <selection activeCell="G17" sqref="G17:H17"/>
    </sheetView>
  </sheetViews>
  <sheetFormatPr defaultRowHeight="14.4" x14ac:dyDescent="0.3"/>
  <cols>
    <col min="1" max="1" width="16.77734375" bestFit="1" customWidth="1"/>
    <col min="2" max="2" width="13.44140625" bestFit="1" customWidth="1"/>
    <col min="3" max="3" width="16.33203125" bestFit="1" customWidth="1"/>
    <col min="4" max="4" width="23.5546875" bestFit="1" customWidth="1"/>
    <col min="5" max="5" width="18.21875" style="3" bestFit="1" customWidth="1"/>
    <col min="6" max="6" width="18.5546875" bestFit="1" customWidth="1"/>
    <col min="7" max="7" width="16.88671875" bestFit="1" customWidth="1"/>
  </cols>
  <sheetData>
    <row r="3" spans="1:8" x14ac:dyDescent="0.3">
      <c r="A3" s="4" t="s">
        <v>235</v>
      </c>
      <c r="B3" s="4" t="s">
        <v>139</v>
      </c>
      <c r="C3" s="4" t="s">
        <v>10</v>
      </c>
      <c r="D3" s="4" t="s">
        <v>0</v>
      </c>
      <c r="E3" s="4" t="s">
        <v>233</v>
      </c>
      <c r="F3" t="s">
        <v>237</v>
      </c>
      <c r="G3" t="s">
        <v>238</v>
      </c>
    </row>
    <row r="4" spans="1:8" x14ac:dyDescent="0.3">
      <c r="A4" t="s">
        <v>42</v>
      </c>
      <c r="B4" t="s">
        <v>141</v>
      </c>
      <c r="C4" t="s">
        <v>43</v>
      </c>
      <c r="D4" t="s">
        <v>18</v>
      </c>
      <c r="E4">
        <v>173.00275482093664</v>
      </c>
      <c r="F4" s="5">
        <v>2</v>
      </c>
      <c r="G4" s="10">
        <v>346.00550964187329</v>
      </c>
    </row>
    <row r="5" spans="1:8" x14ac:dyDescent="0.3">
      <c r="D5" t="s">
        <v>52</v>
      </c>
      <c r="E5">
        <v>173.00275482093664</v>
      </c>
      <c r="F5" s="5">
        <v>1</v>
      </c>
      <c r="G5" s="10">
        <v>173.00275482093664</v>
      </c>
    </row>
    <row r="6" spans="1:8" x14ac:dyDescent="0.3">
      <c r="D6" t="s">
        <v>29</v>
      </c>
      <c r="E6">
        <v>173.00275482093664</v>
      </c>
      <c r="F6" s="5">
        <v>6</v>
      </c>
      <c r="G6" s="10">
        <v>1038.0165289256199</v>
      </c>
    </row>
    <row r="7" spans="1:8" x14ac:dyDescent="0.3">
      <c r="D7" t="s">
        <v>15</v>
      </c>
      <c r="E7">
        <v>173.00275482093664</v>
      </c>
      <c r="F7" s="5">
        <v>1</v>
      </c>
      <c r="G7" s="10">
        <v>173.00275482093664</v>
      </c>
    </row>
    <row r="8" spans="1:8" x14ac:dyDescent="0.3">
      <c r="D8" t="s">
        <v>23</v>
      </c>
      <c r="E8">
        <v>173.00275482093664</v>
      </c>
      <c r="F8" s="5">
        <v>1</v>
      </c>
      <c r="G8" s="10">
        <v>173.00275482093664</v>
      </c>
    </row>
    <row r="9" spans="1:8" x14ac:dyDescent="0.3">
      <c r="B9" s="8" t="s">
        <v>240</v>
      </c>
      <c r="C9" s="8"/>
      <c r="D9" s="8"/>
      <c r="E9" s="8"/>
      <c r="F9" s="9">
        <v>11</v>
      </c>
      <c r="G9" s="11">
        <v>1903.030303030303</v>
      </c>
      <c r="H9" t="s">
        <v>243</v>
      </c>
    </row>
    <row r="10" spans="1:8" x14ac:dyDescent="0.3">
      <c r="B10" t="s">
        <v>146</v>
      </c>
      <c r="C10" t="s">
        <v>43</v>
      </c>
      <c r="D10" t="s">
        <v>128</v>
      </c>
      <c r="E10">
        <v>110</v>
      </c>
      <c r="F10" s="5">
        <v>9</v>
      </c>
      <c r="G10" s="10">
        <v>990</v>
      </c>
    </row>
    <row r="11" spans="1:8" x14ac:dyDescent="0.3">
      <c r="D11" t="s">
        <v>46</v>
      </c>
      <c r="E11">
        <v>110</v>
      </c>
      <c r="F11" s="5">
        <v>80</v>
      </c>
      <c r="G11" s="10">
        <v>8800</v>
      </c>
    </row>
    <row r="12" spans="1:8" x14ac:dyDescent="0.3">
      <c r="D12" t="s">
        <v>40</v>
      </c>
      <c r="E12">
        <v>110</v>
      </c>
      <c r="F12" s="5">
        <v>59</v>
      </c>
      <c r="G12" s="10">
        <v>6490</v>
      </c>
    </row>
    <row r="13" spans="1:8" x14ac:dyDescent="0.3">
      <c r="D13" t="s">
        <v>50</v>
      </c>
      <c r="E13">
        <v>110</v>
      </c>
      <c r="F13" s="5">
        <v>4</v>
      </c>
      <c r="G13" s="10">
        <v>440</v>
      </c>
    </row>
    <row r="14" spans="1:8" x14ac:dyDescent="0.3">
      <c r="D14" t="s">
        <v>120</v>
      </c>
      <c r="E14">
        <v>110</v>
      </c>
      <c r="F14" s="5">
        <v>8</v>
      </c>
      <c r="G14" s="10">
        <v>880</v>
      </c>
    </row>
    <row r="15" spans="1:8" x14ac:dyDescent="0.3">
      <c r="B15" s="8" t="s">
        <v>241</v>
      </c>
      <c r="C15" s="8"/>
      <c r="D15" s="8"/>
      <c r="E15" s="8"/>
      <c r="F15" s="9">
        <v>160</v>
      </c>
      <c r="G15" s="11">
        <v>17600</v>
      </c>
      <c r="H15" t="s">
        <v>244</v>
      </c>
    </row>
    <row r="16" spans="1:8" x14ac:dyDescent="0.3">
      <c r="B16" t="s">
        <v>150</v>
      </c>
      <c r="C16" t="s">
        <v>43</v>
      </c>
      <c r="D16" t="s">
        <v>45</v>
      </c>
      <c r="E16">
        <v>173.00275482093664</v>
      </c>
      <c r="F16" s="5">
        <v>1</v>
      </c>
      <c r="G16" s="10">
        <v>173.00275482093664</v>
      </c>
    </row>
    <row r="17" spans="1:8" x14ac:dyDescent="0.3">
      <c r="B17" s="8" t="s">
        <v>242</v>
      </c>
      <c r="C17" s="8"/>
      <c r="D17" s="8"/>
      <c r="E17" s="8"/>
      <c r="F17" s="9">
        <v>1</v>
      </c>
      <c r="G17" s="11">
        <v>173.00275482093664</v>
      </c>
      <c r="H17" t="s">
        <v>245</v>
      </c>
    </row>
    <row r="18" spans="1:8" x14ac:dyDescent="0.3">
      <c r="A18" s="6" t="s">
        <v>239</v>
      </c>
      <c r="B18" s="6"/>
      <c r="C18" s="6"/>
      <c r="D18" s="6"/>
      <c r="E18" s="6"/>
      <c r="F18" s="7">
        <v>172</v>
      </c>
      <c r="G18" s="12">
        <v>19676.03305785124</v>
      </c>
    </row>
    <row r="19" spans="1:8" x14ac:dyDescent="0.3">
      <c r="A19" t="s">
        <v>236</v>
      </c>
      <c r="E19"/>
      <c r="F19" s="5">
        <v>172</v>
      </c>
      <c r="G19" s="10">
        <v>19676.03305785124</v>
      </c>
    </row>
    <row r="20" spans="1:8" x14ac:dyDescent="0.3">
      <c r="E20"/>
    </row>
    <row r="21" spans="1:8" x14ac:dyDescent="0.3">
      <c r="E21"/>
    </row>
    <row r="22" spans="1:8" x14ac:dyDescent="0.3">
      <c r="E22"/>
    </row>
    <row r="23" spans="1:8" x14ac:dyDescent="0.3">
      <c r="E23"/>
    </row>
    <row r="24" spans="1:8" x14ac:dyDescent="0.3">
      <c r="E24"/>
    </row>
    <row r="25" spans="1:8" x14ac:dyDescent="0.3">
      <c r="E25"/>
    </row>
    <row r="26" spans="1:8" x14ac:dyDescent="0.3">
      <c r="E26"/>
    </row>
    <row r="27" spans="1:8" x14ac:dyDescent="0.3">
      <c r="E27"/>
    </row>
    <row r="28" spans="1:8" x14ac:dyDescent="0.3">
      <c r="E28"/>
    </row>
    <row r="29" spans="1:8" x14ac:dyDescent="0.3">
      <c r="E29"/>
    </row>
    <row r="30" spans="1:8" x14ac:dyDescent="0.3">
      <c r="E30"/>
    </row>
    <row r="31" spans="1:8" x14ac:dyDescent="0.3">
      <c r="E31"/>
    </row>
    <row r="32" spans="1:8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8BD0-4D45-4440-A0E8-E1328DF1951E}">
  <dimension ref="A1:R54"/>
  <sheetViews>
    <sheetView zoomScaleNormal="100" workbookViewId="0">
      <selection activeCell="J11" sqref="J11"/>
    </sheetView>
  </sheetViews>
  <sheetFormatPr defaultRowHeight="14.4" x14ac:dyDescent="0.3"/>
  <cols>
    <col min="1" max="1" width="22" bestFit="1" customWidth="1"/>
    <col min="2" max="2" width="11.77734375" customWidth="1"/>
    <col min="3" max="3" width="16.44140625" hidden="1" customWidth="1"/>
    <col min="4" max="4" width="7.44140625" hidden="1" customWidth="1"/>
    <col min="5" max="5" width="6.88671875" hidden="1" customWidth="1"/>
    <col min="6" max="6" width="8.33203125" hidden="1" customWidth="1"/>
    <col min="7" max="7" width="6.33203125" hidden="1" customWidth="1"/>
    <col min="8" max="8" width="7.88671875" hidden="1" customWidth="1"/>
    <col min="9" max="9" width="13" customWidth="1"/>
    <col min="10" max="10" width="25.6640625" customWidth="1"/>
    <col min="11" max="11" width="21.77734375" bestFit="1" customWidth="1"/>
    <col min="12" max="12" width="15.33203125" bestFit="1" customWidth="1"/>
    <col min="13" max="13" width="80.88671875" customWidth="1"/>
    <col min="14" max="16" width="10.77734375" customWidth="1"/>
    <col min="17" max="17" width="40.88671875" bestFit="1" customWidth="1"/>
    <col min="18" max="18" width="14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233</v>
      </c>
      <c r="P1" t="s">
        <v>234</v>
      </c>
      <c r="Q1" t="s">
        <v>14</v>
      </c>
      <c r="R1" t="s">
        <v>139</v>
      </c>
    </row>
    <row r="2" spans="1:18" x14ac:dyDescent="0.3">
      <c r="A2" t="s">
        <v>29</v>
      </c>
      <c r="B2" s="1">
        <v>45722</v>
      </c>
      <c r="C2" s="1">
        <v>45726</v>
      </c>
      <c r="D2" t="s">
        <v>16</v>
      </c>
      <c r="E2">
        <v>2025</v>
      </c>
      <c r="F2">
        <v>3</v>
      </c>
      <c r="G2">
        <v>6</v>
      </c>
      <c r="H2">
        <v>10</v>
      </c>
      <c r="I2" s="3">
        <v>1</v>
      </c>
      <c r="J2" t="s">
        <v>42</v>
      </c>
      <c r="K2" t="s">
        <v>43</v>
      </c>
      <c r="L2" t="s">
        <v>32</v>
      </c>
      <c r="M2" t="s">
        <v>112</v>
      </c>
      <c r="N2" s="3">
        <v>157</v>
      </c>
      <c r="O2" s="3">
        <f>ApprovedTimeReport_007_202534[[#This Row],[CostRate]]/0.9075</f>
        <v>173.00275482093664</v>
      </c>
      <c r="P2" s="3">
        <f>ApprovedTimeReport_007_202534[[#This Row],[CostRate w/ Taxes]]*ApprovedTimeReport_007_202534[[#This Row],[Time Actual]]</f>
        <v>173.00275482093664</v>
      </c>
      <c r="Q2" t="s">
        <v>30</v>
      </c>
      <c r="R2" s="2" t="str">
        <f>VLOOKUP(A:A,Vlookup!A:B,2,0)</f>
        <v>FF</v>
      </c>
    </row>
    <row r="3" spans="1:18" x14ac:dyDescent="0.3">
      <c r="A3" t="s">
        <v>29</v>
      </c>
      <c r="B3" s="1">
        <v>45721</v>
      </c>
      <c r="C3" s="1">
        <v>45726</v>
      </c>
      <c r="D3" t="s">
        <v>16</v>
      </c>
      <c r="E3">
        <v>2025</v>
      </c>
      <c r="F3">
        <v>3</v>
      </c>
      <c r="G3">
        <v>5</v>
      </c>
      <c r="H3">
        <v>10</v>
      </c>
      <c r="I3" s="3">
        <v>1</v>
      </c>
      <c r="J3" t="s">
        <v>42</v>
      </c>
      <c r="K3" t="s">
        <v>43</v>
      </c>
      <c r="L3" t="s">
        <v>32</v>
      </c>
      <c r="M3" t="s">
        <v>115</v>
      </c>
      <c r="N3" s="3">
        <v>157</v>
      </c>
      <c r="O3" s="3">
        <f>ApprovedTimeReport_007_202534[[#This Row],[CostRate]]/0.9075</f>
        <v>173.00275482093664</v>
      </c>
      <c r="P3" s="3">
        <f>ApprovedTimeReport_007_202534[[#This Row],[CostRate w/ Taxes]]*ApprovedTimeReport_007_202534[[#This Row],[Time Actual]]</f>
        <v>173.00275482093664</v>
      </c>
      <c r="Q3" t="s">
        <v>30</v>
      </c>
      <c r="R3" s="2" t="str">
        <f>VLOOKUP(A:A,Vlookup!A:B,2,0)</f>
        <v>FF</v>
      </c>
    </row>
    <row r="4" spans="1:18" x14ac:dyDescent="0.3">
      <c r="A4" t="s">
        <v>29</v>
      </c>
      <c r="B4" s="1">
        <v>45719</v>
      </c>
      <c r="C4" s="1">
        <v>45726</v>
      </c>
      <c r="D4" t="s">
        <v>16</v>
      </c>
      <c r="E4">
        <v>2025</v>
      </c>
      <c r="F4">
        <v>3</v>
      </c>
      <c r="G4">
        <v>3</v>
      </c>
      <c r="H4">
        <v>10</v>
      </c>
      <c r="I4" s="3">
        <v>2</v>
      </c>
      <c r="J4" t="s">
        <v>42</v>
      </c>
      <c r="K4" t="s">
        <v>43</v>
      </c>
      <c r="L4" t="s">
        <v>32</v>
      </c>
      <c r="M4" t="s">
        <v>118</v>
      </c>
      <c r="N4" s="3">
        <v>157</v>
      </c>
      <c r="O4" s="3">
        <f>ApprovedTimeReport_007_202534[[#This Row],[CostRate]]/0.9075</f>
        <v>173.00275482093664</v>
      </c>
      <c r="P4" s="3">
        <f>ApprovedTimeReport_007_202534[[#This Row],[CostRate w/ Taxes]]*ApprovedTimeReport_007_202534[[#This Row],[Time Actual]]</f>
        <v>346.00550964187329</v>
      </c>
      <c r="Q4" t="s">
        <v>30</v>
      </c>
      <c r="R4" s="2" t="str">
        <f>VLOOKUP(A:A,Vlookup!A:B,2,0)</f>
        <v>FF</v>
      </c>
    </row>
    <row r="5" spans="1:18" x14ac:dyDescent="0.3">
      <c r="A5" t="s">
        <v>29</v>
      </c>
      <c r="B5" s="1">
        <v>45729</v>
      </c>
      <c r="C5" s="1">
        <v>45733</v>
      </c>
      <c r="D5" t="s">
        <v>16</v>
      </c>
      <c r="E5">
        <v>2025</v>
      </c>
      <c r="F5">
        <v>3</v>
      </c>
      <c r="G5">
        <v>13</v>
      </c>
      <c r="H5">
        <v>11</v>
      </c>
      <c r="I5" s="3">
        <v>2</v>
      </c>
      <c r="J5" t="s">
        <v>42</v>
      </c>
      <c r="K5" t="s">
        <v>43</v>
      </c>
      <c r="L5" t="s">
        <v>32</v>
      </c>
      <c r="M5" t="s">
        <v>98</v>
      </c>
      <c r="N5" s="3">
        <v>157</v>
      </c>
      <c r="O5" s="3">
        <f>ApprovedTimeReport_007_202534[[#This Row],[CostRate]]/0.9075</f>
        <v>173.00275482093664</v>
      </c>
      <c r="P5" s="3">
        <f>ApprovedTimeReport_007_202534[[#This Row],[CostRate w/ Taxes]]*ApprovedTimeReport_007_202534[[#This Row],[Time Actual]]</f>
        <v>346.00550964187329</v>
      </c>
      <c r="Q5" t="s">
        <v>30</v>
      </c>
      <c r="R5" s="2" t="str">
        <f>VLOOKUP(A:A,Vlookup!A:B,2,0)</f>
        <v>FF</v>
      </c>
    </row>
    <row r="6" spans="1:18" x14ac:dyDescent="0.3">
      <c r="A6" t="s">
        <v>45</v>
      </c>
      <c r="B6" s="1">
        <v>45735</v>
      </c>
      <c r="C6" s="1">
        <v>45740</v>
      </c>
      <c r="D6" t="s">
        <v>16</v>
      </c>
      <c r="E6">
        <v>2025</v>
      </c>
      <c r="F6">
        <v>3</v>
      </c>
      <c r="G6">
        <v>19</v>
      </c>
      <c r="H6">
        <v>12</v>
      </c>
      <c r="I6" s="3">
        <v>1</v>
      </c>
      <c r="J6" t="s">
        <v>42</v>
      </c>
      <c r="K6" t="s">
        <v>43</v>
      </c>
      <c r="L6" t="s">
        <v>32</v>
      </c>
      <c r="M6" t="s">
        <v>89</v>
      </c>
      <c r="N6" s="3">
        <v>157</v>
      </c>
      <c r="O6" s="3">
        <f>ApprovedTimeReport_007_202534[[#This Row],[CostRate]]/0.9075</f>
        <v>173.00275482093664</v>
      </c>
      <c r="P6" s="3">
        <f>ApprovedTimeReport_007_202534[[#This Row],[CostRate w/ Taxes]]*ApprovedTimeReport_007_202534[[#This Row],[Time Actual]]</f>
        <v>173.00275482093664</v>
      </c>
      <c r="Q6" t="s">
        <v>21</v>
      </c>
      <c r="R6" s="2" t="str">
        <f>VLOOKUP(A:A,Vlookup!A:B,2,0)</f>
        <v>T&amp;M</v>
      </c>
    </row>
    <row r="7" spans="1:18" x14ac:dyDescent="0.3">
      <c r="A7" t="s">
        <v>15</v>
      </c>
      <c r="B7" s="1">
        <v>45728</v>
      </c>
      <c r="C7" s="1">
        <v>45733</v>
      </c>
      <c r="D7" t="s">
        <v>16</v>
      </c>
      <c r="E7">
        <v>2025</v>
      </c>
      <c r="F7">
        <v>3</v>
      </c>
      <c r="G7">
        <v>12</v>
      </c>
      <c r="H7">
        <v>11</v>
      </c>
      <c r="I7" s="3">
        <v>1</v>
      </c>
      <c r="J7" t="s">
        <v>42</v>
      </c>
      <c r="K7" t="s">
        <v>43</v>
      </c>
      <c r="L7" t="s">
        <v>32</v>
      </c>
      <c r="M7" t="s">
        <v>103</v>
      </c>
      <c r="N7" s="3">
        <v>157</v>
      </c>
      <c r="O7" s="3">
        <f>ApprovedTimeReport_007_202534[[#This Row],[CostRate]]/0.9075</f>
        <v>173.00275482093664</v>
      </c>
      <c r="P7" s="3">
        <f>ApprovedTimeReport_007_202534[[#This Row],[CostRate w/ Taxes]]*ApprovedTimeReport_007_202534[[#This Row],[Time Actual]]</f>
        <v>173.00275482093664</v>
      </c>
      <c r="Q7" t="s">
        <v>17</v>
      </c>
      <c r="R7" s="2" t="str">
        <f>VLOOKUP(A:A,Vlookup!A:B,2,0)</f>
        <v>FF</v>
      </c>
    </row>
    <row r="8" spans="1:18" x14ac:dyDescent="0.3">
      <c r="A8" t="s">
        <v>52</v>
      </c>
      <c r="B8" s="1">
        <v>45729</v>
      </c>
      <c r="C8" s="1">
        <v>45733</v>
      </c>
      <c r="D8" t="s">
        <v>16</v>
      </c>
      <c r="E8">
        <v>2025</v>
      </c>
      <c r="F8">
        <v>3</v>
      </c>
      <c r="G8">
        <v>13</v>
      </c>
      <c r="H8">
        <v>11</v>
      </c>
      <c r="I8" s="3">
        <v>1</v>
      </c>
      <c r="J8" t="s">
        <v>42</v>
      </c>
      <c r="K8" t="s">
        <v>43</v>
      </c>
      <c r="L8" t="s">
        <v>37</v>
      </c>
      <c r="M8" t="s">
        <v>100</v>
      </c>
      <c r="N8" s="3">
        <v>157</v>
      </c>
      <c r="O8" s="3">
        <f>ApprovedTimeReport_007_202534[[#This Row],[CostRate]]/0.9075</f>
        <v>173.00275482093664</v>
      </c>
      <c r="P8" s="3">
        <f>ApprovedTimeReport_007_202534[[#This Row],[CostRate w/ Taxes]]*ApprovedTimeReport_007_202534[[#This Row],[Time Actual]]</f>
        <v>173.00275482093664</v>
      </c>
      <c r="Q8" t="s">
        <v>53</v>
      </c>
      <c r="R8" s="2" t="str">
        <f>VLOOKUP(A:A,Vlookup!A:B,2,0)</f>
        <v>FF</v>
      </c>
    </row>
    <row r="9" spans="1:18" x14ac:dyDescent="0.3">
      <c r="A9" t="s">
        <v>23</v>
      </c>
      <c r="B9" s="1">
        <v>45743</v>
      </c>
      <c r="C9" s="1">
        <v>45747</v>
      </c>
      <c r="D9" t="s">
        <v>16</v>
      </c>
      <c r="E9">
        <v>2025</v>
      </c>
      <c r="F9">
        <v>3</v>
      </c>
      <c r="G9">
        <v>27</v>
      </c>
      <c r="H9">
        <v>13</v>
      </c>
      <c r="I9" s="3">
        <v>1</v>
      </c>
      <c r="J9" t="s">
        <v>42</v>
      </c>
      <c r="K9" t="s">
        <v>43</v>
      </c>
      <c r="L9" t="s">
        <v>32</v>
      </c>
      <c r="M9" t="s">
        <v>69</v>
      </c>
      <c r="N9" s="3">
        <v>157</v>
      </c>
      <c r="O9" s="3">
        <f>ApprovedTimeReport_007_202534[[#This Row],[CostRate]]/0.9075</f>
        <v>173.00275482093664</v>
      </c>
      <c r="P9" s="3">
        <f>ApprovedTimeReport_007_202534[[#This Row],[CostRate w/ Taxes]]*ApprovedTimeReport_007_202534[[#This Row],[Time Actual]]</f>
        <v>173.00275482093664</v>
      </c>
      <c r="Q9" t="s">
        <v>24</v>
      </c>
      <c r="R9" s="2" t="str">
        <f>VLOOKUP(A:A,Vlookup!A:B,2,0)</f>
        <v>FF</v>
      </c>
    </row>
    <row r="10" spans="1:18" x14ac:dyDescent="0.3">
      <c r="A10" t="s">
        <v>128</v>
      </c>
      <c r="B10" s="1">
        <v>45719</v>
      </c>
      <c r="C10" s="1">
        <v>45726</v>
      </c>
      <c r="D10" t="s">
        <v>16</v>
      </c>
      <c r="E10">
        <v>2025</v>
      </c>
      <c r="F10">
        <v>3</v>
      </c>
      <c r="G10">
        <v>3</v>
      </c>
      <c r="H10">
        <v>10</v>
      </c>
      <c r="I10" s="3">
        <v>1</v>
      </c>
      <c r="J10" t="s">
        <v>42</v>
      </c>
      <c r="K10" t="s">
        <v>43</v>
      </c>
      <c r="L10" t="s">
        <v>32</v>
      </c>
      <c r="M10" t="s">
        <v>138</v>
      </c>
      <c r="N10" s="3">
        <v>99.83</v>
      </c>
      <c r="O10" s="3">
        <v>110</v>
      </c>
      <c r="P10" s="3">
        <f>ApprovedTimeReport_007_202534[[#This Row],[CostRate w/ Taxes]]*ApprovedTimeReport_007_202534[[#This Row],[Time Actual]]</f>
        <v>110</v>
      </c>
      <c r="Q10" t="s">
        <v>26</v>
      </c>
      <c r="R10" s="2" t="str">
        <f>VLOOKUP(A:A,Vlookup!A:B,2,0)</f>
        <v>NB</v>
      </c>
    </row>
    <row r="11" spans="1:18" x14ac:dyDescent="0.3">
      <c r="A11" t="s">
        <v>128</v>
      </c>
      <c r="B11" s="1">
        <v>45729</v>
      </c>
      <c r="C11" s="1">
        <v>45733</v>
      </c>
      <c r="D11" t="s">
        <v>16</v>
      </c>
      <c r="E11">
        <v>2025</v>
      </c>
      <c r="F11">
        <v>3</v>
      </c>
      <c r="G11">
        <v>13</v>
      </c>
      <c r="H11">
        <v>11</v>
      </c>
      <c r="I11" s="3">
        <v>1</v>
      </c>
      <c r="J11" t="s">
        <v>42</v>
      </c>
      <c r="K11" t="s">
        <v>43</v>
      </c>
      <c r="L11" t="s">
        <v>32</v>
      </c>
      <c r="M11" t="s">
        <v>135</v>
      </c>
      <c r="N11" s="3">
        <v>99.83</v>
      </c>
      <c r="O11" s="3">
        <v>110</v>
      </c>
      <c r="P11" s="3">
        <f>ApprovedTimeReport_007_202534[[#This Row],[CostRate w/ Taxes]]*ApprovedTimeReport_007_202534[[#This Row],[Time Actual]]</f>
        <v>110</v>
      </c>
      <c r="Q11" t="s">
        <v>26</v>
      </c>
      <c r="R11" s="2" t="str">
        <f>VLOOKUP(A:A,Vlookup!A:B,2,0)</f>
        <v>NB</v>
      </c>
    </row>
    <row r="12" spans="1:18" x14ac:dyDescent="0.3">
      <c r="A12" t="s">
        <v>128</v>
      </c>
      <c r="B12" s="1">
        <v>45722</v>
      </c>
      <c r="C12" s="1">
        <v>45726</v>
      </c>
      <c r="D12" t="s">
        <v>16</v>
      </c>
      <c r="E12">
        <v>2025</v>
      </c>
      <c r="F12">
        <v>3</v>
      </c>
      <c r="G12">
        <v>6</v>
      </c>
      <c r="H12">
        <v>10</v>
      </c>
      <c r="I12" s="3">
        <v>1</v>
      </c>
      <c r="J12" t="s">
        <v>42</v>
      </c>
      <c r="K12" t="s">
        <v>43</v>
      </c>
      <c r="L12" t="s">
        <v>32</v>
      </c>
      <c r="M12" t="s">
        <v>137</v>
      </c>
      <c r="N12" s="3">
        <v>99.83</v>
      </c>
      <c r="O12" s="3">
        <v>110</v>
      </c>
      <c r="P12" s="3">
        <f>ApprovedTimeReport_007_202534[[#This Row],[CostRate w/ Taxes]]*ApprovedTimeReport_007_202534[[#This Row],[Time Actual]]</f>
        <v>110</v>
      </c>
      <c r="Q12" t="s">
        <v>26</v>
      </c>
      <c r="R12" s="2" t="str">
        <f>VLOOKUP(A:A,Vlookup!A:B,2,0)</f>
        <v>NB</v>
      </c>
    </row>
    <row r="13" spans="1:18" x14ac:dyDescent="0.3">
      <c r="A13" t="s">
        <v>128</v>
      </c>
      <c r="B13" s="1">
        <v>45730</v>
      </c>
      <c r="C13" s="1">
        <v>45733</v>
      </c>
      <c r="D13" t="s">
        <v>16</v>
      </c>
      <c r="E13">
        <v>2025</v>
      </c>
      <c r="F13">
        <v>3</v>
      </c>
      <c r="G13">
        <v>14</v>
      </c>
      <c r="H13">
        <v>11</v>
      </c>
      <c r="I13" s="3">
        <v>2</v>
      </c>
      <c r="J13" t="s">
        <v>42</v>
      </c>
      <c r="K13" t="s">
        <v>43</v>
      </c>
      <c r="L13" t="s">
        <v>32</v>
      </c>
      <c r="M13" t="s">
        <v>134</v>
      </c>
      <c r="N13" s="3">
        <v>99.83</v>
      </c>
      <c r="O13" s="3">
        <v>110</v>
      </c>
      <c r="P13" s="3">
        <f>ApprovedTimeReport_007_202534[[#This Row],[CostRate w/ Taxes]]*ApprovedTimeReport_007_202534[[#This Row],[Time Actual]]</f>
        <v>220</v>
      </c>
      <c r="Q13" t="s">
        <v>26</v>
      </c>
      <c r="R13" s="2" t="str">
        <f>VLOOKUP(A:A,Vlookup!A:B,2,0)</f>
        <v>NB</v>
      </c>
    </row>
    <row r="14" spans="1:18" x14ac:dyDescent="0.3">
      <c r="A14" t="s">
        <v>128</v>
      </c>
      <c r="B14" s="1">
        <v>45723</v>
      </c>
      <c r="C14" s="1">
        <v>45726</v>
      </c>
      <c r="D14" t="s">
        <v>16</v>
      </c>
      <c r="E14">
        <v>2025</v>
      </c>
      <c r="F14">
        <v>3</v>
      </c>
      <c r="G14">
        <v>7</v>
      </c>
      <c r="H14">
        <v>10</v>
      </c>
      <c r="I14" s="3">
        <v>1</v>
      </c>
      <c r="J14" t="s">
        <v>42</v>
      </c>
      <c r="K14" t="s">
        <v>43</v>
      </c>
      <c r="L14" t="s">
        <v>32</v>
      </c>
      <c r="M14" t="s">
        <v>136</v>
      </c>
      <c r="N14" s="3">
        <v>99.83</v>
      </c>
      <c r="O14" s="3">
        <v>110</v>
      </c>
      <c r="P14" s="3">
        <f>ApprovedTimeReport_007_202534[[#This Row],[CostRate w/ Taxes]]*ApprovedTimeReport_007_202534[[#This Row],[Time Actual]]</f>
        <v>110</v>
      </c>
      <c r="Q14" t="s">
        <v>26</v>
      </c>
      <c r="R14" s="2" t="str">
        <f>VLOOKUP(A:A,Vlookup!A:B,2,0)</f>
        <v>NB</v>
      </c>
    </row>
    <row r="15" spans="1:18" x14ac:dyDescent="0.3">
      <c r="A15" t="s">
        <v>128</v>
      </c>
      <c r="B15" s="1">
        <v>45735</v>
      </c>
      <c r="C15" s="1">
        <v>45740</v>
      </c>
      <c r="D15" t="s">
        <v>16</v>
      </c>
      <c r="E15">
        <v>2025</v>
      </c>
      <c r="F15">
        <v>3</v>
      </c>
      <c r="G15">
        <v>19</v>
      </c>
      <c r="H15">
        <v>12</v>
      </c>
      <c r="I15" s="3">
        <v>1</v>
      </c>
      <c r="J15" t="s">
        <v>42</v>
      </c>
      <c r="K15" t="s">
        <v>43</v>
      </c>
      <c r="L15" t="s">
        <v>32</v>
      </c>
      <c r="M15" t="s">
        <v>133</v>
      </c>
      <c r="N15" s="3">
        <v>99.83</v>
      </c>
      <c r="O15" s="3">
        <v>110</v>
      </c>
      <c r="P15" s="3">
        <f>ApprovedTimeReport_007_202534[[#This Row],[CostRate w/ Taxes]]*ApprovedTimeReport_007_202534[[#This Row],[Time Actual]]</f>
        <v>110</v>
      </c>
      <c r="Q15" t="s">
        <v>26</v>
      </c>
      <c r="R15" s="2" t="str">
        <f>VLOOKUP(A:A,Vlookup!A:B,2,0)</f>
        <v>NB</v>
      </c>
    </row>
    <row r="16" spans="1:18" x14ac:dyDescent="0.3">
      <c r="A16" t="s">
        <v>128</v>
      </c>
      <c r="B16" s="1">
        <v>45742</v>
      </c>
      <c r="C16" s="1">
        <v>45747</v>
      </c>
      <c r="D16" t="s">
        <v>16</v>
      </c>
      <c r="E16">
        <v>2025</v>
      </c>
      <c r="F16">
        <v>3</v>
      </c>
      <c r="G16">
        <v>26</v>
      </c>
      <c r="H16">
        <v>13</v>
      </c>
      <c r="I16" s="3">
        <v>2</v>
      </c>
      <c r="J16" t="s">
        <v>42</v>
      </c>
      <c r="K16" t="s">
        <v>43</v>
      </c>
      <c r="L16" t="s">
        <v>32</v>
      </c>
      <c r="M16" t="s">
        <v>132</v>
      </c>
      <c r="N16" s="3">
        <v>99.83</v>
      </c>
      <c r="O16" s="3">
        <v>110</v>
      </c>
      <c r="P16" s="3">
        <f>ApprovedTimeReport_007_202534[[#This Row],[CostRate w/ Taxes]]*ApprovedTimeReport_007_202534[[#This Row],[Time Actual]]</f>
        <v>220</v>
      </c>
      <c r="Q16" t="s">
        <v>26</v>
      </c>
      <c r="R16" s="2" t="str">
        <f>VLOOKUP(A:A,Vlookup!A:B,2,0)</f>
        <v>NB</v>
      </c>
    </row>
    <row r="17" spans="1:18" x14ac:dyDescent="0.3">
      <c r="A17" t="s">
        <v>46</v>
      </c>
      <c r="B17" s="1">
        <v>45728</v>
      </c>
      <c r="C17" s="1">
        <v>45733</v>
      </c>
      <c r="D17" t="s">
        <v>47</v>
      </c>
      <c r="E17">
        <v>2025</v>
      </c>
      <c r="F17">
        <v>3</v>
      </c>
      <c r="G17">
        <v>12</v>
      </c>
      <c r="H17">
        <v>11</v>
      </c>
      <c r="I17" s="3">
        <v>1</v>
      </c>
      <c r="J17" t="s">
        <v>42</v>
      </c>
      <c r="K17" t="s">
        <v>43</v>
      </c>
      <c r="L17" t="s">
        <v>32</v>
      </c>
      <c r="M17" t="s">
        <v>102</v>
      </c>
      <c r="N17" s="3">
        <v>99.83</v>
      </c>
      <c r="O17" s="3">
        <v>110</v>
      </c>
      <c r="P17" s="3">
        <f>ApprovedTimeReport_007_202534[[#This Row],[CostRate w/ Taxes]]*ApprovedTimeReport_007_202534[[#This Row],[Time Actual]]</f>
        <v>110</v>
      </c>
      <c r="Q17" t="s">
        <v>26</v>
      </c>
      <c r="R17" s="2" t="str">
        <f>VLOOKUP(A:A,Vlookup!A:B,2,0)</f>
        <v>NB</v>
      </c>
    </row>
    <row r="18" spans="1:18" x14ac:dyDescent="0.3">
      <c r="A18" t="s">
        <v>46</v>
      </c>
      <c r="B18" s="1">
        <v>45733</v>
      </c>
      <c r="C18" s="1">
        <v>45740</v>
      </c>
      <c r="D18" t="s">
        <v>47</v>
      </c>
      <c r="E18">
        <v>2025</v>
      </c>
      <c r="F18">
        <v>3</v>
      </c>
      <c r="G18">
        <v>17</v>
      </c>
      <c r="H18">
        <v>12</v>
      </c>
      <c r="I18" s="3">
        <v>2</v>
      </c>
      <c r="J18" t="s">
        <v>42</v>
      </c>
      <c r="K18" t="s">
        <v>43</v>
      </c>
      <c r="L18" t="s">
        <v>32</v>
      </c>
      <c r="M18" t="s">
        <v>93</v>
      </c>
      <c r="N18" s="3">
        <v>99.83</v>
      </c>
      <c r="O18" s="3">
        <v>110</v>
      </c>
      <c r="P18" s="3">
        <f>ApprovedTimeReport_007_202534[[#This Row],[CostRate w/ Taxes]]*ApprovedTimeReport_007_202534[[#This Row],[Time Actual]]</f>
        <v>220</v>
      </c>
      <c r="Q18" t="s">
        <v>26</v>
      </c>
      <c r="R18" s="2" t="str">
        <f>VLOOKUP(A:A,Vlookup!A:B,2,0)</f>
        <v>NB</v>
      </c>
    </row>
    <row r="19" spans="1:18" x14ac:dyDescent="0.3">
      <c r="A19" t="s">
        <v>46</v>
      </c>
      <c r="B19" s="1">
        <v>45721</v>
      </c>
      <c r="C19" s="1">
        <v>45726</v>
      </c>
      <c r="D19" t="s">
        <v>47</v>
      </c>
      <c r="E19">
        <v>2025</v>
      </c>
      <c r="F19">
        <v>3</v>
      </c>
      <c r="G19">
        <v>5</v>
      </c>
      <c r="H19">
        <v>10</v>
      </c>
      <c r="I19" s="3">
        <v>3</v>
      </c>
      <c r="J19" t="s">
        <v>42</v>
      </c>
      <c r="K19" t="s">
        <v>43</v>
      </c>
      <c r="L19" t="s">
        <v>32</v>
      </c>
      <c r="M19" t="s">
        <v>113</v>
      </c>
      <c r="N19" s="3">
        <v>99.83</v>
      </c>
      <c r="O19" s="3">
        <v>110</v>
      </c>
      <c r="P19" s="3">
        <f>ApprovedTimeReport_007_202534[[#This Row],[CostRate w/ Taxes]]*ApprovedTimeReport_007_202534[[#This Row],[Time Actual]]</f>
        <v>330</v>
      </c>
      <c r="Q19" t="s">
        <v>26</v>
      </c>
      <c r="R19" s="2" t="str">
        <f>VLOOKUP(A:A,Vlookup!A:B,2,0)</f>
        <v>NB</v>
      </c>
    </row>
    <row r="20" spans="1:18" x14ac:dyDescent="0.3">
      <c r="A20" t="s">
        <v>46</v>
      </c>
      <c r="B20" s="1">
        <v>45742</v>
      </c>
      <c r="C20" s="1">
        <v>45747</v>
      </c>
      <c r="D20" t="s">
        <v>47</v>
      </c>
      <c r="E20">
        <v>2025</v>
      </c>
      <c r="F20">
        <v>3</v>
      </c>
      <c r="G20">
        <v>26</v>
      </c>
      <c r="H20">
        <v>13</v>
      </c>
      <c r="I20" s="3">
        <v>3</v>
      </c>
      <c r="J20" t="s">
        <v>42</v>
      </c>
      <c r="K20" t="s">
        <v>43</v>
      </c>
      <c r="L20" t="s">
        <v>32</v>
      </c>
      <c r="M20" t="s">
        <v>75</v>
      </c>
      <c r="N20" s="3">
        <v>99.83</v>
      </c>
      <c r="O20" s="3">
        <v>110</v>
      </c>
      <c r="P20" s="3">
        <f>ApprovedTimeReport_007_202534[[#This Row],[CostRate w/ Taxes]]*ApprovedTimeReport_007_202534[[#This Row],[Time Actual]]</f>
        <v>330</v>
      </c>
      <c r="Q20" t="s">
        <v>26</v>
      </c>
      <c r="R20" s="2" t="str">
        <f>VLOOKUP(A:A,Vlookup!A:B,2,0)</f>
        <v>NB</v>
      </c>
    </row>
    <row r="21" spans="1:18" x14ac:dyDescent="0.3">
      <c r="A21" t="s">
        <v>46</v>
      </c>
      <c r="B21" s="1">
        <v>45723</v>
      </c>
      <c r="C21" s="1">
        <v>45726</v>
      </c>
      <c r="D21" t="s">
        <v>47</v>
      </c>
      <c r="E21">
        <v>2025</v>
      </c>
      <c r="F21">
        <v>3</v>
      </c>
      <c r="G21">
        <v>7</v>
      </c>
      <c r="H21">
        <v>10</v>
      </c>
      <c r="I21" s="3">
        <v>8</v>
      </c>
      <c r="J21" t="s">
        <v>42</v>
      </c>
      <c r="K21" t="s">
        <v>43</v>
      </c>
      <c r="L21" t="s">
        <v>32</v>
      </c>
      <c r="M21" t="s">
        <v>109</v>
      </c>
      <c r="N21" s="3">
        <v>99.83</v>
      </c>
      <c r="O21" s="3">
        <v>110</v>
      </c>
      <c r="P21" s="3">
        <f>ApprovedTimeReport_007_202534[[#This Row],[CostRate w/ Taxes]]*ApprovedTimeReport_007_202534[[#This Row],[Time Actual]]</f>
        <v>880</v>
      </c>
      <c r="Q21" t="s">
        <v>26</v>
      </c>
      <c r="R21" s="2" t="str">
        <f>VLOOKUP(A:A,Vlookup!A:B,2,0)</f>
        <v>NB</v>
      </c>
    </row>
    <row r="22" spans="1:18" x14ac:dyDescent="0.3">
      <c r="A22" t="s">
        <v>46</v>
      </c>
      <c r="B22" s="1">
        <v>45747</v>
      </c>
      <c r="C22" s="1">
        <v>45749</v>
      </c>
      <c r="D22" t="s">
        <v>47</v>
      </c>
      <c r="E22">
        <v>2025</v>
      </c>
      <c r="F22">
        <v>3</v>
      </c>
      <c r="G22">
        <v>31</v>
      </c>
      <c r="H22">
        <v>13</v>
      </c>
      <c r="I22" s="3">
        <v>6</v>
      </c>
      <c r="J22" t="s">
        <v>42</v>
      </c>
      <c r="K22" t="s">
        <v>43</v>
      </c>
      <c r="L22" t="s">
        <v>32</v>
      </c>
      <c r="M22" t="s">
        <v>126</v>
      </c>
      <c r="N22" s="3">
        <v>99.83</v>
      </c>
      <c r="O22" s="3">
        <v>110</v>
      </c>
      <c r="P22" s="3">
        <f>ApprovedTimeReport_007_202534[[#This Row],[CostRate w/ Taxes]]*ApprovedTimeReport_007_202534[[#This Row],[Time Actual]]</f>
        <v>660</v>
      </c>
      <c r="Q22" t="s">
        <v>26</v>
      </c>
      <c r="R22" s="2" t="str">
        <f>VLOOKUP(A:A,Vlookup!A:B,2,0)</f>
        <v>NB</v>
      </c>
    </row>
    <row r="23" spans="1:18" x14ac:dyDescent="0.3">
      <c r="A23" t="s">
        <v>46</v>
      </c>
      <c r="B23" s="1">
        <v>45736</v>
      </c>
      <c r="C23" s="1">
        <v>45740</v>
      </c>
      <c r="D23" t="s">
        <v>47</v>
      </c>
      <c r="E23">
        <v>2025</v>
      </c>
      <c r="F23">
        <v>3</v>
      </c>
      <c r="G23">
        <v>20</v>
      </c>
      <c r="H23">
        <v>12</v>
      </c>
      <c r="I23" s="3">
        <v>5</v>
      </c>
      <c r="J23" t="s">
        <v>42</v>
      </c>
      <c r="K23" t="s">
        <v>43</v>
      </c>
      <c r="L23" t="s">
        <v>32</v>
      </c>
      <c r="M23" t="s">
        <v>87</v>
      </c>
      <c r="N23" s="3">
        <v>99.83</v>
      </c>
      <c r="O23" s="3">
        <v>110</v>
      </c>
      <c r="P23" s="3">
        <f>ApprovedTimeReport_007_202534[[#This Row],[CostRate w/ Taxes]]*ApprovedTimeReport_007_202534[[#This Row],[Time Actual]]</f>
        <v>550</v>
      </c>
      <c r="Q23" t="s">
        <v>26</v>
      </c>
      <c r="R23" s="2" t="str">
        <f>VLOOKUP(A:A,Vlookup!A:B,2,0)</f>
        <v>NB</v>
      </c>
    </row>
    <row r="24" spans="1:18" x14ac:dyDescent="0.3">
      <c r="A24" t="s">
        <v>46</v>
      </c>
      <c r="B24" s="1">
        <v>45719</v>
      </c>
      <c r="C24" s="1">
        <v>45726</v>
      </c>
      <c r="D24" t="s">
        <v>47</v>
      </c>
      <c r="E24">
        <v>2025</v>
      </c>
      <c r="F24">
        <v>3</v>
      </c>
      <c r="G24">
        <v>3</v>
      </c>
      <c r="H24">
        <v>10</v>
      </c>
      <c r="I24" s="3">
        <v>3</v>
      </c>
      <c r="J24" t="s">
        <v>42</v>
      </c>
      <c r="K24" t="s">
        <v>43</v>
      </c>
      <c r="L24" t="s">
        <v>32</v>
      </c>
      <c r="M24" t="s">
        <v>116</v>
      </c>
      <c r="N24" s="3">
        <v>99.83</v>
      </c>
      <c r="O24" s="3">
        <v>110</v>
      </c>
      <c r="P24" s="3">
        <f>ApprovedTimeReport_007_202534[[#This Row],[CostRate w/ Taxes]]*ApprovedTimeReport_007_202534[[#This Row],[Time Actual]]</f>
        <v>330</v>
      </c>
      <c r="Q24" t="s">
        <v>26</v>
      </c>
      <c r="R24" s="2" t="str">
        <f>VLOOKUP(A:A,Vlookup!A:B,2,0)</f>
        <v>NB</v>
      </c>
    </row>
    <row r="25" spans="1:18" x14ac:dyDescent="0.3">
      <c r="A25" t="s">
        <v>46</v>
      </c>
      <c r="B25" s="1">
        <v>45740</v>
      </c>
      <c r="C25" s="1">
        <v>45747</v>
      </c>
      <c r="D25" t="s">
        <v>47</v>
      </c>
      <c r="E25">
        <v>2025</v>
      </c>
      <c r="F25">
        <v>3</v>
      </c>
      <c r="G25">
        <v>24</v>
      </c>
      <c r="H25">
        <v>13</v>
      </c>
      <c r="I25" s="3">
        <v>4</v>
      </c>
      <c r="J25" t="s">
        <v>42</v>
      </c>
      <c r="K25" t="s">
        <v>43</v>
      </c>
      <c r="L25" t="s">
        <v>32</v>
      </c>
      <c r="M25" t="s">
        <v>82</v>
      </c>
      <c r="N25" s="3">
        <v>99.83</v>
      </c>
      <c r="O25" s="3">
        <v>110</v>
      </c>
      <c r="P25" s="3">
        <f>ApprovedTimeReport_007_202534[[#This Row],[CostRate w/ Taxes]]*ApprovedTimeReport_007_202534[[#This Row],[Time Actual]]</f>
        <v>440</v>
      </c>
      <c r="Q25" t="s">
        <v>26</v>
      </c>
      <c r="R25" s="2" t="str">
        <f>VLOOKUP(A:A,Vlookup!A:B,2,0)</f>
        <v>NB</v>
      </c>
    </row>
    <row r="26" spans="1:18" x14ac:dyDescent="0.3">
      <c r="A26" t="s">
        <v>46</v>
      </c>
      <c r="B26" s="1">
        <v>45734</v>
      </c>
      <c r="C26" s="1">
        <v>45740</v>
      </c>
      <c r="D26" t="s">
        <v>47</v>
      </c>
      <c r="E26">
        <v>2025</v>
      </c>
      <c r="F26">
        <v>3</v>
      </c>
      <c r="G26">
        <v>18</v>
      </c>
      <c r="H26">
        <v>12</v>
      </c>
      <c r="I26" s="3">
        <v>4</v>
      </c>
      <c r="J26" t="s">
        <v>42</v>
      </c>
      <c r="K26" t="s">
        <v>43</v>
      </c>
      <c r="L26" t="s">
        <v>32</v>
      </c>
      <c r="M26" t="s">
        <v>90</v>
      </c>
      <c r="N26" s="3">
        <v>99.83</v>
      </c>
      <c r="O26" s="3">
        <v>110</v>
      </c>
      <c r="P26" s="3">
        <f>ApprovedTimeReport_007_202534[[#This Row],[CostRate w/ Taxes]]*ApprovedTimeReport_007_202534[[#This Row],[Time Actual]]</f>
        <v>440</v>
      </c>
      <c r="Q26" t="s">
        <v>26</v>
      </c>
      <c r="R26" s="2" t="str">
        <f>VLOOKUP(A:A,Vlookup!A:B,2,0)</f>
        <v>NB</v>
      </c>
    </row>
    <row r="27" spans="1:18" x14ac:dyDescent="0.3">
      <c r="A27" t="s">
        <v>46</v>
      </c>
      <c r="B27" s="1">
        <v>45737</v>
      </c>
      <c r="C27" s="1">
        <v>45740</v>
      </c>
      <c r="D27" t="s">
        <v>47</v>
      </c>
      <c r="E27">
        <v>2025</v>
      </c>
      <c r="F27">
        <v>3</v>
      </c>
      <c r="G27">
        <v>21</v>
      </c>
      <c r="H27">
        <v>12</v>
      </c>
      <c r="I27" s="3">
        <v>5</v>
      </c>
      <c r="J27" t="s">
        <v>42</v>
      </c>
      <c r="K27" t="s">
        <v>43</v>
      </c>
      <c r="L27" t="s">
        <v>32</v>
      </c>
      <c r="M27" t="s">
        <v>84</v>
      </c>
      <c r="N27" s="3">
        <v>99.83</v>
      </c>
      <c r="O27" s="3">
        <v>110</v>
      </c>
      <c r="P27" s="3">
        <f>ApprovedTimeReport_007_202534[[#This Row],[CostRate w/ Taxes]]*ApprovedTimeReport_007_202534[[#This Row],[Time Actual]]</f>
        <v>550</v>
      </c>
      <c r="Q27" t="s">
        <v>26</v>
      </c>
      <c r="R27" s="2" t="str">
        <f>VLOOKUP(A:A,Vlookup!A:B,2,0)</f>
        <v>NB</v>
      </c>
    </row>
    <row r="28" spans="1:18" x14ac:dyDescent="0.3">
      <c r="A28" t="s">
        <v>46</v>
      </c>
      <c r="B28" s="1">
        <v>45722</v>
      </c>
      <c r="C28" s="1">
        <v>45726</v>
      </c>
      <c r="D28" t="s">
        <v>47</v>
      </c>
      <c r="E28">
        <v>2025</v>
      </c>
      <c r="F28">
        <v>3</v>
      </c>
      <c r="G28">
        <v>6</v>
      </c>
      <c r="H28">
        <v>10</v>
      </c>
      <c r="I28" s="3">
        <v>7</v>
      </c>
      <c r="J28" t="s">
        <v>42</v>
      </c>
      <c r="K28" t="s">
        <v>43</v>
      </c>
      <c r="L28" t="s">
        <v>32</v>
      </c>
      <c r="M28" t="s">
        <v>110</v>
      </c>
      <c r="N28" s="3">
        <v>99.83</v>
      </c>
      <c r="O28" s="3">
        <v>110</v>
      </c>
      <c r="P28" s="3">
        <f>ApprovedTimeReport_007_202534[[#This Row],[CostRate w/ Taxes]]*ApprovedTimeReport_007_202534[[#This Row],[Time Actual]]</f>
        <v>770</v>
      </c>
      <c r="Q28" t="s">
        <v>26</v>
      </c>
      <c r="R28" s="2" t="str">
        <f>VLOOKUP(A:A,Vlookup!A:B,2,0)</f>
        <v>NB</v>
      </c>
    </row>
    <row r="29" spans="1:18" x14ac:dyDescent="0.3">
      <c r="A29" t="s">
        <v>46</v>
      </c>
      <c r="B29" s="1">
        <v>45735</v>
      </c>
      <c r="C29" s="1">
        <v>45740</v>
      </c>
      <c r="D29" t="s">
        <v>47</v>
      </c>
      <c r="E29">
        <v>2025</v>
      </c>
      <c r="F29">
        <v>3</v>
      </c>
      <c r="G29">
        <v>19</v>
      </c>
      <c r="H29">
        <v>12</v>
      </c>
      <c r="I29" s="3">
        <v>6</v>
      </c>
      <c r="J29" t="s">
        <v>42</v>
      </c>
      <c r="K29" t="s">
        <v>43</v>
      </c>
      <c r="L29" t="s">
        <v>32</v>
      </c>
      <c r="M29" t="s">
        <v>88</v>
      </c>
      <c r="N29" s="3">
        <v>99.83</v>
      </c>
      <c r="O29" s="3">
        <v>110</v>
      </c>
      <c r="P29" s="3">
        <f>ApprovedTimeReport_007_202534[[#This Row],[CostRate w/ Taxes]]*ApprovedTimeReport_007_202534[[#This Row],[Time Actual]]</f>
        <v>660</v>
      </c>
      <c r="Q29" t="s">
        <v>26</v>
      </c>
      <c r="R29" s="2" t="str">
        <f>VLOOKUP(A:A,Vlookup!A:B,2,0)</f>
        <v>NB</v>
      </c>
    </row>
    <row r="30" spans="1:18" x14ac:dyDescent="0.3">
      <c r="A30" t="s">
        <v>46</v>
      </c>
      <c r="B30" s="1">
        <v>45743</v>
      </c>
      <c r="C30" s="1">
        <v>45747</v>
      </c>
      <c r="D30" t="s">
        <v>47</v>
      </c>
      <c r="E30">
        <v>2025</v>
      </c>
      <c r="F30">
        <v>3</v>
      </c>
      <c r="G30">
        <v>27</v>
      </c>
      <c r="H30">
        <v>13</v>
      </c>
      <c r="I30" s="3">
        <v>2</v>
      </c>
      <c r="J30" t="s">
        <v>42</v>
      </c>
      <c r="K30" t="s">
        <v>43</v>
      </c>
      <c r="L30" t="s">
        <v>32</v>
      </c>
      <c r="M30" t="s">
        <v>68</v>
      </c>
      <c r="N30" s="3">
        <v>99.83</v>
      </c>
      <c r="O30" s="3">
        <v>110</v>
      </c>
      <c r="P30" s="3">
        <f>ApprovedTimeReport_007_202534[[#This Row],[CostRate w/ Taxes]]*ApprovedTimeReport_007_202534[[#This Row],[Time Actual]]</f>
        <v>220</v>
      </c>
      <c r="Q30" t="s">
        <v>26</v>
      </c>
      <c r="R30" s="2" t="str">
        <f>VLOOKUP(A:A,Vlookup!A:B,2,0)</f>
        <v>NB</v>
      </c>
    </row>
    <row r="31" spans="1:18" x14ac:dyDescent="0.3">
      <c r="A31" t="s">
        <v>46</v>
      </c>
      <c r="B31" s="1">
        <v>45730</v>
      </c>
      <c r="C31" s="1">
        <v>45733</v>
      </c>
      <c r="D31" t="s">
        <v>47</v>
      </c>
      <c r="E31">
        <v>2025</v>
      </c>
      <c r="F31">
        <v>3</v>
      </c>
      <c r="G31">
        <v>14</v>
      </c>
      <c r="H31">
        <v>11</v>
      </c>
      <c r="I31" s="3">
        <v>3</v>
      </c>
      <c r="J31" t="s">
        <v>42</v>
      </c>
      <c r="K31" t="s">
        <v>43</v>
      </c>
      <c r="L31" t="s">
        <v>32</v>
      </c>
      <c r="M31" t="s">
        <v>96</v>
      </c>
      <c r="N31" s="3">
        <v>99.83</v>
      </c>
      <c r="O31" s="3">
        <v>110</v>
      </c>
      <c r="P31" s="3">
        <f>ApprovedTimeReport_007_202534[[#This Row],[CostRate w/ Taxes]]*ApprovedTimeReport_007_202534[[#This Row],[Time Actual]]</f>
        <v>330</v>
      </c>
      <c r="Q31" t="s">
        <v>26</v>
      </c>
      <c r="R31" s="2" t="str">
        <f>VLOOKUP(A:A,Vlookup!A:B,2,0)</f>
        <v>NB</v>
      </c>
    </row>
    <row r="32" spans="1:18" x14ac:dyDescent="0.3">
      <c r="A32" t="s">
        <v>46</v>
      </c>
      <c r="B32" s="1">
        <v>45744</v>
      </c>
      <c r="C32" s="1">
        <v>45747</v>
      </c>
      <c r="D32" t="s">
        <v>47</v>
      </c>
      <c r="E32">
        <v>2025</v>
      </c>
      <c r="F32">
        <v>3</v>
      </c>
      <c r="G32">
        <v>28</v>
      </c>
      <c r="H32">
        <v>13</v>
      </c>
      <c r="I32" s="3">
        <v>4</v>
      </c>
      <c r="J32" t="s">
        <v>42</v>
      </c>
      <c r="K32" t="s">
        <v>43</v>
      </c>
      <c r="L32" t="s">
        <v>32</v>
      </c>
      <c r="M32" t="s">
        <v>48</v>
      </c>
      <c r="N32" s="3">
        <v>99.83</v>
      </c>
      <c r="O32" s="3">
        <v>110</v>
      </c>
      <c r="P32" s="3">
        <f>ApprovedTimeReport_007_202534[[#This Row],[CostRate w/ Taxes]]*ApprovedTimeReport_007_202534[[#This Row],[Time Actual]]</f>
        <v>440</v>
      </c>
      <c r="Q32" t="s">
        <v>26</v>
      </c>
      <c r="R32" s="2" t="str">
        <f>VLOOKUP(A:A,Vlookup!A:B,2,0)</f>
        <v>NB</v>
      </c>
    </row>
    <row r="33" spans="1:18" x14ac:dyDescent="0.3">
      <c r="A33" t="s">
        <v>46</v>
      </c>
      <c r="B33" s="1">
        <v>45726</v>
      </c>
      <c r="C33" s="1">
        <v>45733</v>
      </c>
      <c r="D33" t="s">
        <v>47</v>
      </c>
      <c r="E33">
        <v>2025</v>
      </c>
      <c r="F33">
        <v>3</v>
      </c>
      <c r="G33">
        <v>10</v>
      </c>
      <c r="H33">
        <v>11</v>
      </c>
      <c r="I33" s="3">
        <v>8</v>
      </c>
      <c r="J33" t="s">
        <v>42</v>
      </c>
      <c r="K33" t="s">
        <v>43</v>
      </c>
      <c r="L33" t="s">
        <v>32</v>
      </c>
      <c r="M33" t="s">
        <v>108</v>
      </c>
      <c r="N33" s="3">
        <v>99.83</v>
      </c>
      <c r="O33" s="3">
        <v>110</v>
      </c>
      <c r="P33" s="3">
        <f>ApprovedTimeReport_007_202534[[#This Row],[CostRate w/ Taxes]]*ApprovedTimeReport_007_202534[[#This Row],[Time Actual]]</f>
        <v>880</v>
      </c>
      <c r="Q33" t="s">
        <v>26</v>
      </c>
      <c r="R33" s="2" t="str">
        <f>VLOOKUP(A:A,Vlookup!A:B,2,0)</f>
        <v>NB</v>
      </c>
    </row>
    <row r="34" spans="1:18" x14ac:dyDescent="0.3">
      <c r="A34" t="s">
        <v>46</v>
      </c>
      <c r="B34" s="1">
        <v>45727</v>
      </c>
      <c r="C34" s="1">
        <v>45733</v>
      </c>
      <c r="D34" t="s">
        <v>47</v>
      </c>
      <c r="E34">
        <v>2025</v>
      </c>
      <c r="F34">
        <v>3</v>
      </c>
      <c r="G34">
        <v>11</v>
      </c>
      <c r="H34">
        <v>11</v>
      </c>
      <c r="I34" s="3">
        <v>6</v>
      </c>
      <c r="J34" t="s">
        <v>42</v>
      </c>
      <c r="K34" t="s">
        <v>43</v>
      </c>
      <c r="L34" t="s">
        <v>32</v>
      </c>
      <c r="M34" t="s">
        <v>105</v>
      </c>
      <c r="N34" s="3">
        <v>99.83</v>
      </c>
      <c r="O34" s="3">
        <v>110</v>
      </c>
      <c r="P34" s="3">
        <f>ApprovedTimeReport_007_202534[[#This Row],[CostRate w/ Taxes]]*ApprovedTimeReport_007_202534[[#This Row],[Time Actual]]</f>
        <v>660</v>
      </c>
      <c r="Q34" t="s">
        <v>26</v>
      </c>
      <c r="R34" s="2" t="str">
        <f>VLOOKUP(A:A,Vlookup!A:B,2,0)</f>
        <v>NB</v>
      </c>
    </row>
    <row r="35" spans="1:18" x14ac:dyDescent="0.3">
      <c r="A35" t="s">
        <v>40</v>
      </c>
      <c r="B35" s="1">
        <v>45734</v>
      </c>
      <c r="C35" s="1">
        <v>45740</v>
      </c>
      <c r="D35" t="s">
        <v>33</v>
      </c>
      <c r="E35">
        <v>2025</v>
      </c>
      <c r="F35">
        <v>3</v>
      </c>
      <c r="G35">
        <v>18</v>
      </c>
      <c r="H35">
        <v>12</v>
      </c>
      <c r="I35" s="3">
        <v>5</v>
      </c>
      <c r="J35" t="s">
        <v>42</v>
      </c>
      <c r="K35" t="s">
        <v>43</v>
      </c>
      <c r="L35" t="s">
        <v>37</v>
      </c>
      <c r="M35" t="s">
        <v>91</v>
      </c>
      <c r="N35" s="3">
        <v>99.83</v>
      </c>
      <c r="O35" s="3">
        <v>110</v>
      </c>
      <c r="P35" s="3">
        <f>ApprovedTimeReport_007_202534[[#This Row],[CostRate w/ Taxes]]*ApprovedTimeReport_007_202534[[#This Row],[Time Actual]]</f>
        <v>550</v>
      </c>
      <c r="Q35" t="s">
        <v>26</v>
      </c>
      <c r="R35" s="2" t="str">
        <f>VLOOKUP(A:A,Vlookup!A:B,2,0)</f>
        <v>NB</v>
      </c>
    </row>
    <row r="36" spans="1:18" x14ac:dyDescent="0.3">
      <c r="A36" t="s">
        <v>40</v>
      </c>
      <c r="B36" s="1">
        <v>45729</v>
      </c>
      <c r="C36" s="1">
        <v>45733</v>
      </c>
      <c r="D36" t="s">
        <v>33</v>
      </c>
      <c r="E36">
        <v>2025</v>
      </c>
      <c r="F36">
        <v>3</v>
      </c>
      <c r="G36">
        <v>13</v>
      </c>
      <c r="H36">
        <v>11</v>
      </c>
      <c r="I36" s="3">
        <v>2</v>
      </c>
      <c r="J36" t="s">
        <v>42</v>
      </c>
      <c r="K36" t="s">
        <v>43</v>
      </c>
      <c r="L36" t="s">
        <v>37</v>
      </c>
      <c r="M36" t="s">
        <v>99</v>
      </c>
      <c r="N36" s="3">
        <v>99.83</v>
      </c>
      <c r="O36" s="3">
        <v>110</v>
      </c>
      <c r="P36" s="3">
        <f>ApprovedTimeReport_007_202534[[#This Row],[CostRate w/ Taxes]]*ApprovedTimeReport_007_202534[[#This Row],[Time Actual]]</f>
        <v>220</v>
      </c>
      <c r="Q36" t="s">
        <v>26</v>
      </c>
      <c r="R36" s="2" t="str">
        <f>VLOOKUP(A:A,Vlookup!A:B,2,0)</f>
        <v>NB</v>
      </c>
    </row>
    <row r="37" spans="1:18" x14ac:dyDescent="0.3">
      <c r="A37" t="s">
        <v>40</v>
      </c>
      <c r="B37" s="1">
        <v>45719</v>
      </c>
      <c r="C37" s="1">
        <v>45726</v>
      </c>
      <c r="D37" t="s">
        <v>33</v>
      </c>
      <c r="E37">
        <v>2025</v>
      </c>
      <c r="F37">
        <v>3</v>
      </c>
      <c r="G37">
        <v>3</v>
      </c>
      <c r="H37">
        <v>10</v>
      </c>
      <c r="I37" s="3">
        <v>2</v>
      </c>
      <c r="J37" t="s">
        <v>42</v>
      </c>
      <c r="K37" t="s">
        <v>43</v>
      </c>
      <c r="L37" t="s">
        <v>37</v>
      </c>
      <c r="M37" t="s">
        <v>117</v>
      </c>
      <c r="N37" s="3">
        <v>99.83</v>
      </c>
      <c r="O37" s="3">
        <v>110</v>
      </c>
      <c r="P37" s="3">
        <f>ApprovedTimeReport_007_202534[[#This Row],[CostRate w/ Taxes]]*ApprovedTimeReport_007_202534[[#This Row],[Time Actual]]</f>
        <v>220</v>
      </c>
      <c r="Q37" t="s">
        <v>26</v>
      </c>
      <c r="R37" s="2" t="str">
        <f>VLOOKUP(A:A,Vlookup!A:B,2,0)</f>
        <v>NB</v>
      </c>
    </row>
    <row r="38" spans="1:18" x14ac:dyDescent="0.3">
      <c r="A38" t="s">
        <v>40</v>
      </c>
      <c r="B38" s="1">
        <v>45727</v>
      </c>
      <c r="C38" s="1">
        <v>45733</v>
      </c>
      <c r="D38" t="s">
        <v>33</v>
      </c>
      <c r="E38">
        <v>2025</v>
      </c>
      <c r="F38">
        <v>3</v>
      </c>
      <c r="G38">
        <v>11</v>
      </c>
      <c r="H38">
        <v>11</v>
      </c>
      <c r="I38" s="3">
        <v>2</v>
      </c>
      <c r="J38" t="s">
        <v>42</v>
      </c>
      <c r="K38" t="s">
        <v>43</v>
      </c>
      <c r="L38" t="s">
        <v>37</v>
      </c>
      <c r="M38" t="s">
        <v>106</v>
      </c>
      <c r="N38" s="3">
        <v>99.83</v>
      </c>
      <c r="O38" s="3">
        <v>110</v>
      </c>
      <c r="P38" s="3">
        <f>ApprovedTimeReport_007_202534[[#This Row],[CostRate w/ Taxes]]*ApprovedTimeReport_007_202534[[#This Row],[Time Actual]]</f>
        <v>220</v>
      </c>
      <c r="Q38" t="s">
        <v>26</v>
      </c>
      <c r="R38" s="2" t="str">
        <f>VLOOKUP(A:A,Vlookup!A:B,2,0)</f>
        <v>NB</v>
      </c>
    </row>
    <row r="39" spans="1:18" x14ac:dyDescent="0.3">
      <c r="A39" t="s">
        <v>40</v>
      </c>
      <c r="B39" s="1">
        <v>45743</v>
      </c>
      <c r="C39" s="1">
        <v>45747</v>
      </c>
      <c r="D39" t="s">
        <v>33</v>
      </c>
      <c r="E39">
        <v>2025</v>
      </c>
      <c r="F39">
        <v>3</v>
      </c>
      <c r="G39">
        <v>27</v>
      </c>
      <c r="H39">
        <v>13</v>
      </c>
      <c r="I39" s="3">
        <v>6</v>
      </c>
      <c r="J39" t="s">
        <v>42</v>
      </c>
      <c r="K39" t="s">
        <v>43</v>
      </c>
      <c r="L39" t="s">
        <v>37</v>
      </c>
      <c r="M39" t="s">
        <v>65</v>
      </c>
      <c r="N39" s="3">
        <v>99.83</v>
      </c>
      <c r="O39" s="3">
        <v>110</v>
      </c>
      <c r="P39" s="3">
        <f>ApprovedTimeReport_007_202534[[#This Row],[CostRate w/ Taxes]]*ApprovedTimeReport_007_202534[[#This Row],[Time Actual]]</f>
        <v>660</v>
      </c>
      <c r="Q39" t="s">
        <v>26</v>
      </c>
      <c r="R39" s="2" t="str">
        <f>VLOOKUP(A:A,Vlookup!A:B,2,0)</f>
        <v>NB</v>
      </c>
    </row>
    <row r="40" spans="1:18" x14ac:dyDescent="0.3">
      <c r="A40" t="s">
        <v>40</v>
      </c>
      <c r="B40" s="1">
        <v>45744</v>
      </c>
      <c r="C40" s="1">
        <v>45747</v>
      </c>
      <c r="D40" t="s">
        <v>33</v>
      </c>
      <c r="E40">
        <v>2025</v>
      </c>
      <c r="F40">
        <v>3</v>
      </c>
      <c r="G40">
        <v>28</v>
      </c>
      <c r="H40">
        <v>13</v>
      </c>
      <c r="I40" s="3">
        <v>4</v>
      </c>
      <c r="J40" t="s">
        <v>42</v>
      </c>
      <c r="K40" t="s">
        <v>43</v>
      </c>
      <c r="L40" t="s">
        <v>37</v>
      </c>
      <c r="M40" t="s">
        <v>44</v>
      </c>
      <c r="N40" s="3">
        <v>99.83</v>
      </c>
      <c r="O40" s="3">
        <v>110</v>
      </c>
      <c r="P40" s="3">
        <f>ApprovedTimeReport_007_202534[[#This Row],[CostRate w/ Taxes]]*ApprovedTimeReport_007_202534[[#This Row],[Time Actual]]</f>
        <v>440</v>
      </c>
      <c r="Q40" t="s">
        <v>26</v>
      </c>
      <c r="R40" s="2" t="str">
        <f>VLOOKUP(A:A,Vlookup!A:B,2,0)</f>
        <v>NB</v>
      </c>
    </row>
    <row r="41" spans="1:18" x14ac:dyDescent="0.3">
      <c r="A41" t="s">
        <v>40</v>
      </c>
      <c r="B41" s="1">
        <v>45728</v>
      </c>
      <c r="C41" s="1">
        <v>45733</v>
      </c>
      <c r="D41" t="s">
        <v>33</v>
      </c>
      <c r="E41">
        <v>2025</v>
      </c>
      <c r="F41">
        <v>3</v>
      </c>
      <c r="G41">
        <v>12</v>
      </c>
      <c r="H41">
        <v>11</v>
      </c>
      <c r="I41" s="3">
        <v>8</v>
      </c>
      <c r="J41" t="s">
        <v>42</v>
      </c>
      <c r="K41" t="s">
        <v>43</v>
      </c>
      <c r="L41" t="s">
        <v>37</v>
      </c>
      <c r="M41" t="s">
        <v>104</v>
      </c>
      <c r="N41" s="3">
        <v>99.83</v>
      </c>
      <c r="O41" s="3">
        <v>110</v>
      </c>
      <c r="P41" s="3">
        <f>ApprovedTimeReport_007_202534[[#This Row],[CostRate w/ Taxes]]*ApprovedTimeReport_007_202534[[#This Row],[Time Actual]]</f>
        <v>880</v>
      </c>
      <c r="Q41" t="s">
        <v>26</v>
      </c>
      <c r="R41" s="2" t="str">
        <f>VLOOKUP(A:A,Vlookup!A:B,2,0)</f>
        <v>NB</v>
      </c>
    </row>
    <row r="42" spans="1:18" x14ac:dyDescent="0.3">
      <c r="A42" t="s">
        <v>40</v>
      </c>
      <c r="B42" s="1">
        <v>45721</v>
      </c>
      <c r="C42" s="1">
        <v>45726</v>
      </c>
      <c r="D42" t="s">
        <v>33</v>
      </c>
      <c r="E42">
        <v>2025</v>
      </c>
      <c r="F42">
        <v>3</v>
      </c>
      <c r="G42">
        <v>5</v>
      </c>
      <c r="H42">
        <v>10</v>
      </c>
      <c r="I42" s="3">
        <v>3</v>
      </c>
      <c r="J42" t="s">
        <v>42</v>
      </c>
      <c r="K42" t="s">
        <v>43</v>
      </c>
      <c r="L42" t="s">
        <v>37</v>
      </c>
      <c r="M42" t="s">
        <v>114</v>
      </c>
      <c r="N42" s="3">
        <v>99.83</v>
      </c>
      <c r="O42" s="3">
        <v>110</v>
      </c>
      <c r="P42" s="3">
        <f>ApprovedTimeReport_007_202534[[#This Row],[CostRate w/ Taxes]]*ApprovedTimeReport_007_202534[[#This Row],[Time Actual]]</f>
        <v>330</v>
      </c>
      <c r="Q42" t="s">
        <v>26</v>
      </c>
      <c r="R42" s="2" t="str">
        <f>VLOOKUP(A:A,Vlookup!A:B,2,0)</f>
        <v>NB</v>
      </c>
    </row>
    <row r="43" spans="1:18" x14ac:dyDescent="0.3">
      <c r="A43" t="s">
        <v>40</v>
      </c>
      <c r="B43" s="1">
        <v>45742</v>
      </c>
      <c r="C43" s="1">
        <v>45747</v>
      </c>
      <c r="D43" t="s">
        <v>33</v>
      </c>
      <c r="E43">
        <v>2025</v>
      </c>
      <c r="F43">
        <v>3</v>
      </c>
      <c r="G43">
        <v>26</v>
      </c>
      <c r="H43">
        <v>13</v>
      </c>
      <c r="I43" s="3">
        <v>3</v>
      </c>
      <c r="J43" t="s">
        <v>42</v>
      </c>
      <c r="K43" t="s">
        <v>43</v>
      </c>
      <c r="L43" t="s">
        <v>37</v>
      </c>
      <c r="M43" t="s">
        <v>73</v>
      </c>
      <c r="N43" s="3">
        <v>99.83</v>
      </c>
      <c r="O43" s="3">
        <v>110</v>
      </c>
      <c r="P43" s="3">
        <f>ApprovedTimeReport_007_202534[[#This Row],[CostRate w/ Taxes]]*ApprovedTimeReport_007_202534[[#This Row],[Time Actual]]</f>
        <v>330</v>
      </c>
      <c r="Q43" t="s">
        <v>26</v>
      </c>
      <c r="R43" s="2" t="str">
        <f>VLOOKUP(A:A,Vlookup!A:B,2,0)</f>
        <v>NB</v>
      </c>
    </row>
    <row r="44" spans="1:18" x14ac:dyDescent="0.3">
      <c r="A44" t="s">
        <v>40</v>
      </c>
      <c r="B44" s="1">
        <v>45736</v>
      </c>
      <c r="C44" s="1">
        <v>45740</v>
      </c>
      <c r="D44" t="s">
        <v>33</v>
      </c>
      <c r="E44">
        <v>2025</v>
      </c>
      <c r="F44">
        <v>3</v>
      </c>
      <c r="G44">
        <v>20</v>
      </c>
      <c r="H44">
        <v>12</v>
      </c>
      <c r="I44" s="3">
        <v>4</v>
      </c>
      <c r="J44" t="s">
        <v>42</v>
      </c>
      <c r="K44" t="s">
        <v>43</v>
      </c>
      <c r="L44" t="s">
        <v>37</v>
      </c>
      <c r="M44" t="s">
        <v>86</v>
      </c>
      <c r="N44" s="3">
        <v>99.83</v>
      </c>
      <c r="O44" s="3">
        <v>110</v>
      </c>
      <c r="P44" s="3">
        <f>ApprovedTimeReport_007_202534[[#This Row],[CostRate w/ Taxes]]*ApprovedTimeReport_007_202534[[#This Row],[Time Actual]]</f>
        <v>440</v>
      </c>
      <c r="Q44" t="s">
        <v>26</v>
      </c>
      <c r="R44" s="2" t="str">
        <f>VLOOKUP(A:A,Vlookup!A:B,2,0)</f>
        <v>NB</v>
      </c>
    </row>
    <row r="45" spans="1:18" x14ac:dyDescent="0.3">
      <c r="A45" t="s">
        <v>40</v>
      </c>
      <c r="B45" s="1">
        <v>45740</v>
      </c>
      <c r="C45" s="1">
        <v>45747</v>
      </c>
      <c r="D45" t="s">
        <v>33</v>
      </c>
      <c r="E45">
        <v>2025</v>
      </c>
      <c r="F45">
        <v>3</v>
      </c>
      <c r="G45">
        <v>24</v>
      </c>
      <c r="H45">
        <v>13</v>
      </c>
      <c r="I45" s="3">
        <v>4</v>
      </c>
      <c r="J45" t="s">
        <v>42</v>
      </c>
      <c r="K45" t="s">
        <v>43</v>
      </c>
      <c r="L45" t="s">
        <v>37</v>
      </c>
      <c r="M45" t="s">
        <v>83</v>
      </c>
      <c r="N45" s="3">
        <v>99.83</v>
      </c>
      <c r="O45" s="3">
        <v>110</v>
      </c>
      <c r="P45" s="3">
        <f>ApprovedTimeReport_007_202534[[#This Row],[CostRate w/ Taxes]]*ApprovedTimeReport_007_202534[[#This Row],[Time Actual]]</f>
        <v>440</v>
      </c>
      <c r="Q45" t="s">
        <v>26</v>
      </c>
      <c r="R45" s="2" t="str">
        <f>VLOOKUP(A:A,Vlookup!A:B,2,0)</f>
        <v>NB</v>
      </c>
    </row>
    <row r="46" spans="1:18" x14ac:dyDescent="0.3">
      <c r="A46" t="s">
        <v>40</v>
      </c>
      <c r="B46" s="1">
        <v>45737</v>
      </c>
      <c r="C46" s="1">
        <v>45740</v>
      </c>
      <c r="D46" t="s">
        <v>33</v>
      </c>
      <c r="E46">
        <v>2025</v>
      </c>
      <c r="F46">
        <v>3</v>
      </c>
      <c r="G46">
        <v>21</v>
      </c>
      <c r="H46">
        <v>12</v>
      </c>
      <c r="I46" s="3">
        <v>5</v>
      </c>
      <c r="J46" t="s">
        <v>42</v>
      </c>
      <c r="K46" t="s">
        <v>43</v>
      </c>
      <c r="L46" t="s">
        <v>37</v>
      </c>
      <c r="M46" t="s">
        <v>85</v>
      </c>
      <c r="N46" s="3">
        <v>99.83</v>
      </c>
      <c r="O46" s="3">
        <v>110</v>
      </c>
      <c r="P46" s="3">
        <f>ApprovedTimeReport_007_202534[[#This Row],[CostRate w/ Taxes]]*ApprovedTimeReport_007_202534[[#This Row],[Time Actual]]</f>
        <v>550</v>
      </c>
      <c r="Q46" t="s">
        <v>26</v>
      </c>
      <c r="R46" s="2" t="str">
        <f>VLOOKUP(A:A,Vlookup!A:B,2,0)</f>
        <v>NB</v>
      </c>
    </row>
    <row r="47" spans="1:18" x14ac:dyDescent="0.3">
      <c r="A47" t="s">
        <v>40</v>
      </c>
      <c r="B47" s="1">
        <v>45747</v>
      </c>
      <c r="C47" s="1">
        <v>45749</v>
      </c>
      <c r="D47" t="s">
        <v>33</v>
      </c>
      <c r="E47">
        <v>2025</v>
      </c>
      <c r="F47">
        <v>3</v>
      </c>
      <c r="G47">
        <v>31</v>
      </c>
      <c r="H47">
        <v>13</v>
      </c>
      <c r="I47" s="3">
        <v>2</v>
      </c>
      <c r="J47" t="s">
        <v>42</v>
      </c>
      <c r="K47" t="s">
        <v>43</v>
      </c>
      <c r="L47" t="s">
        <v>37</v>
      </c>
      <c r="M47" t="s">
        <v>125</v>
      </c>
      <c r="N47" s="3">
        <v>99.83</v>
      </c>
      <c r="O47" s="3">
        <v>110</v>
      </c>
      <c r="P47" s="3">
        <f>ApprovedTimeReport_007_202534[[#This Row],[CostRate w/ Taxes]]*ApprovedTimeReport_007_202534[[#This Row],[Time Actual]]</f>
        <v>220</v>
      </c>
      <c r="Q47" t="s">
        <v>26</v>
      </c>
      <c r="R47" s="2" t="str">
        <f>VLOOKUP(A:A,Vlookup!A:B,2,0)</f>
        <v>NB</v>
      </c>
    </row>
    <row r="48" spans="1:18" x14ac:dyDescent="0.3">
      <c r="A48" t="s">
        <v>40</v>
      </c>
      <c r="B48" s="1">
        <v>45730</v>
      </c>
      <c r="C48" s="1">
        <v>45733</v>
      </c>
      <c r="D48" t="s">
        <v>33</v>
      </c>
      <c r="E48">
        <v>2025</v>
      </c>
      <c r="F48">
        <v>3</v>
      </c>
      <c r="G48">
        <v>14</v>
      </c>
      <c r="H48">
        <v>11</v>
      </c>
      <c r="I48" s="3">
        <v>3</v>
      </c>
      <c r="J48" t="s">
        <v>42</v>
      </c>
      <c r="K48" t="s">
        <v>43</v>
      </c>
      <c r="L48" t="s">
        <v>37</v>
      </c>
      <c r="M48" t="s">
        <v>95</v>
      </c>
      <c r="N48" s="3">
        <v>99.83</v>
      </c>
      <c r="O48" s="3">
        <v>110</v>
      </c>
      <c r="P48" s="3">
        <f>ApprovedTimeReport_007_202534[[#This Row],[CostRate w/ Taxes]]*ApprovedTimeReport_007_202534[[#This Row],[Time Actual]]</f>
        <v>330</v>
      </c>
      <c r="Q48" t="s">
        <v>26</v>
      </c>
      <c r="R48" s="2" t="str">
        <f>VLOOKUP(A:A,Vlookup!A:B,2,0)</f>
        <v>NB</v>
      </c>
    </row>
    <row r="49" spans="1:18" x14ac:dyDescent="0.3">
      <c r="A49" t="s">
        <v>40</v>
      </c>
      <c r="B49" s="1">
        <v>45733</v>
      </c>
      <c r="C49" s="1">
        <v>45740</v>
      </c>
      <c r="D49" t="s">
        <v>33</v>
      </c>
      <c r="E49">
        <v>2025</v>
      </c>
      <c r="F49">
        <v>3</v>
      </c>
      <c r="G49">
        <v>17</v>
      </c>
      <c r="H49">
        <v>12</v>
      </c>
      <c r="I49" s="3">
        <v>6</v>
      </c>
      <c r="J49" t="s">
        <v>42</v>
      </c>
      <c r="K49" t="s">
        <v>43</v>
      </c>
      <c r="L49" t="s">
        <v>37</v>
      </c>
      <c r="M49" t="s">
        <v>92</v>
      </c>
      <c r="N49" s="3">
        <v>99.83</v>
      </c>
      <c r="O49" s="3">
        <v>110</v>
      </c>
      <c r="P49" s="3">
        <f>ApprovedTimeReport_007_202534[[#This Row],[CostRate w/ Taxes]]*ApprovedTimeReport_007_202534[[#This Row],[Time Actual]]</f>
        <v>660</v>
      </c>
      <c r="Q49" t="s">
        <v>26</v>
      </c>
      <c r="R49" s="2" t="str">
        <f>VLOOKUP(A:A,Vlookup!A:B,2,0)</f>
        <v>NB</v>
      </c>
    </row>
    <row r="50" spans="1:18" x14ac:dyDescent="0.3">
      <c r="A50" t="s">
        <v>50</v>
      </c>
      <c r="B50" s="1">
        <v>45722</v>
      </c>
      <c r="C50" s="1">
        <v>45726</v>
      </c>
      <c r="D50" t="s">
        <v>16</v>
      </c>
      <c r="E50">
        <v>2025</v>
      </c>
      <c r="F50">
        <v>3</v>
      </c>
      <c r="G50">
        <v>6</v>
      </c>
      <c r="H50">
        <v>10</v>
      </c>
      <c r="I50" s="3">
        <v>2</v>
      </c>
      <c r="J50" t="s">
        <v>42</v>
      </c>
      <c r="K50" t="s">
        <v>43</v>
      </c>
      <c r="L50" t="s">
        <v>32</v>
      </c>
      <c r="M50" t="s">
        <v>111</v>
      </c>
      <c r="N50" s="3">
        <v>99.83</v>
      </c>
      <c r="O50" s="3">
        <v>110</v>
      </c>
      <c r="P50" s="3">
        <f>ApprovedTimeReport_007_202534[[#This Row],[CostRate w/ Taxes]]*ApprovedTimeReport_007_202534[[#This Row],[Time Actual]]</f>
        <v>220</v>
      </c>
      <c r="Q50" t="s">
        <v>26</v>
      </c>
      <c r="R50" s="2" t="str">
        <f>VLOOKUP(A:A,Vlookup!A:B,2,0)</f>
        <v>NB</v>
      </c>
    </row>
    <row r="51" spans="1:18" x14ac:dyDescent="0.3">
      <c r="A51" t="s">
        <v>50</v>
      </c>
      <c r="B51" s="1">
        <v>45743</v>
      </c>
      <c r="C51" s="1">
        <v>45747</v>
      </c>
      <c r="D51" t="s">
        <v>16</v>
      </c>
      <c r="E51">
        <v>2025</v>
      </c>
      <c r="F51">
        <v>3</v>
      </c>
      <c r="G51">
        <v>27</v>
      </c>
      <c r="H51">
        <v>13</v>
      </c>
      <c r="I51" s="3">
        <v>1</v>
      </c>
      <c r="J51" t="s">
        <v>42</v>
      </c>
      <c r="K51" t="s">
        <v>43</v>
      </c>
      <c r="L51" t="s">
        <v>32</v>
      </c>
      <c r="M51" t="s">
        <v>63</v>
      </c>
      <c r="N51" s="3">
        <v>99.83</v>
      </c>
      <c r="O51" s="3">
        <v>110</v>
      </c>
      <c r="P51" s="3">
        <f>ApprovedTimeReport_007_202534[[#This Row],[CostRate w/ Taxes]]*ApprovedTimeReport_007_202534[[#This Row],[Time Actual]]</f>
        <v>110</v>
      </c>
      <c r="Q51" t="s">
        <v>26</v>
      </c>
      <c r="R51" s="2" t="str">
        <f>VLOOKUP(A:A,Vlookup!A:B,2,0)</f>
        <v>NB</v>
      </c>
    </row>
    <row r="52" spans="1:18" x14ac:dyDescent="0.3">
      <c r="A52" t="s">
        <v>50</v>
      </c>
      <c r="B52" s="1">
        <v>45729</v>
      </c>
      <c r="C52" s="1">
        <v>45733</v>
      </c>
      <c r="D52" t="s">
        <v>16</v>
      </c>
      <c r="E52">
        <v>2025</v>
      </c>
      <c r="F52">
        <v>3</v>
      </c>
      <c r="G52">
        <v>13</v>
      </c>
      <c r="H52">
        <v>11</v>
      </c>
      <c r="I52" s="3">
        <v>1</v>
      </c>
      <c r="J52" t="s">
        <v>42</v>
      </c>
      <c r="K52" t="s">
        <v>43</v>
      </c>
      <c r="L52" t="s">
        <v>32</v>
      </c>
      <c r="M52" t="s">
        <v>97</v>
      </c>
      <c r="N52" s="3">
        <v>99.83</v>
      </c>
      <c r="O52" s="3">
        <v>110</v>
      </c>
      <c r="P52" s="3">
        <f>ApprovedTimeReport_007_202534[[#This Row],[CostRate w/ Taxes]]*ApprovedTimeReport_007_202534[[#This Row],[Time Actual]]</f>
        <v>110</v>
      </c>
      <c r="Q52" t="s">
        <v>26</v>
      </c>
      <c r="R52" s="2" t="str">
        <f>VLOOKUP(A:A,Vlookup!A:B,2,0)</f>
        <v>NB</v>
      </c>
    </row>
    <row r="53" spans="1:18" x14ac:dyDescent="0.3">
      <c r="A53" t="s">
        <v>120</v>
      </c>
      <c r="B53" s="1">
        <v>45741</v>
      </c>
      <c r="C53" s="1">
        <v>45747</v>
      </c>
      <c r="D53" t="s">
        <v>16</v>
      </c>
      <c r="E53">
        <v>2025</v>
      </c>
      <c r="F53">
        <v>3</v>
      </c>
      <c r="G53">
        <v>25</v>
      </c>
      <c r="H53">
        <v>13</v>
      </c>
      <c r="I53" s="3">
        <v>8</v>
      </c>
      <c r="J53" t="s">
        <v>42</v>
      </c>
      <c r="K53" t="s">
        <v>43</v>
      </c>
      <c r="L53" t="s">
        <v>32</v>
      </c>
      <c r="M53" t="s">
        <v>122</v>
      </c>
      <c r="N53" s="3">
        <v>99.83</v>
      </c>
      <c r="O53" s="3">
        <v>110</v>
      </c>
      <c r="P53" s="3">
        <f>ApprovedTimeReport_007_202534[[#This Row],[CostRate w/ Taxes]]*ApprovedTimeReport_007_202534[[#This Row],[Time Actual]]</f>
        <v>880</v>
      </c>
      <c r="Q53" t="s">
        <v>26</v>
      </c>
      <c r="R53" s="2" t="str">
        <f>VLOOKUP(A:A,Vlookup!A:B,2,0)</f>
        <v>NB</v>
      </c>
    </row>
    <row r="54" spans="1:18" x14ac:dyDescent="0.3">
      <c r="A54" t="s">
        <v>18</v>
      </c>
      <c r="B54" s="1">
        <v>45726</v>
      </c>
      <c r="C54" s="1">
        <v>45733</v>
      </c>
      <c r="D54" t="s">
        <v>16</v>
      </c>
      <c r="E54">
        <v>2025</v>
      </c>
      <c r="F54">
        <v>3</v>
      </c>
      <c r="G54">
        <v>10</v>
      </c>
      <c r="H54">
        <v>11</v>
      </c>
      <c r="I54" s="3">
        <v>2</v>
      </c>
      <c r="J54" t="s">
        <v>42</v>
      </c>
      <c r="K54" t="s">
        <v>43</v>
      </c>
      <c r="L54" t="s">
        <v>32</v>
      </c>
      <c r="M54" t="s">
        <v>107</v>
      </c>
      <c r="N54" s="3">
        <v>157</v>
      </c>
      <c r="O54" s="3">
        <f>ApprovedTimeReport_007_202534[[#This Row],[CostRate]]/0.9075</f>
        <v>173.00275482093664</v>
      </c>
      <c r="P54" s="3">
        <f>ApprovedTimeReport_007_202534[[#This Row],[CostRate w/ Taxes]]*ApprovedTimeReport_007_202534[[#This Row],[Time Actual]]</f>
        <v>346.00550964187329</v>
      </c>
      <c r="Q54" t="s">
        <v>19</v>
      </c>
      <c r="R54" s="2" t="str">
        <f>VLOOKUP(A:A,Vlookup!A:B,2,0)</f>
        <v>FF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551E-92EC-47CC-897A-B2A914729887}">
  <dimension ref="A1:B148"/>
  <sheetViews>
    <sheetView topLeftCell="A112" workbookViewId="0">
      <selection activeCell="B149" sqref="B149"/>
    </sheetView>
  </sheetViews>
  <sheetFormatPr defaultRowHeight="14.4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0</v>
      </c>
      <c r="B1" t="s">
        <v>139</v>
      </c>
    </row>
    <row r="2" spans="1:2" x14ac:dyDescent="0.3">
      <c r="A2" t="s">
        <v>140</v>
      </c>
      <c r="B2" t="s">
        <v>141</v>
      </c>
    </row>
    <row r="3" spans="1:2" x14ac:dyDescent="0.3">
      <c r="A3" t="s">
        <v>142</v>
      </c>
      <c r="B3" t="s">
        <v>141</v>
      </c>
    </row>
    <row r="4" spans="1:2" x14ac:dyDescent="0.3">
      <c r="A4" t="s">
        <v>143</v>
      </c>
      <c r="B4" t="s">
        <v>141</v>
      </c>
    </row>
    <row r="5" spans="1:2" x14ac:dyDescent="0.3">
      <c r="A5" t="s">
        <v>144</v>
      </c>
      <c r="B5" t="s">
        <v>141</v>
      </c>
    </row>
    <row r="6" spans="1:2" x14ac:dyDescent="0.3">
      <c r="A6" t="s">
        <v>145</v>
      </c>
      <c r="B6" t="s">
        <v>146</v>
      </c>
    </row>
    <row r="7" spans="1:2" x14ac:dyDescent="0.3">
      <c r="A7" t="s">
        <v>147</v>
      </c>
      <c r="B7" t="s">
        <v>141</v>
      </c>
    </row>
    <row r="8" spans="1:2" x14ac:dyDescent="0.3">
      <c r="A8" t="s">
        <v>148</v>
      </c>
      <c r="B8" t="s">
        <v>141</v>
      </c>
    </row>
    <row r="9" spans="1:2" x14ac:dyDescent="0.3">
      <c r="A9" t="s">
        <v>149</v>
      </c>
      <c r="B9" t="s">
        <v>141</v>
      </c>
    </row>
    <row r="10" spans="1:2" x14ac:dyDescent="0.3">
      <c r="A10" t="s">
        <v>57</v>
      </c>
      <c r="B10" t="s">
        <v>150</v>
      </c>
    </row>
    <row r="11" spans="1:2" x14ac:dyDescent="0.3">
      <c r="A11" t="s">
        <v>151</v>
      </c>
      <c r="B11" t="s">
        <v>150</v>
      </c>
    </row>
    <row r="12" spans="1:2" x14ac:dyDescent="0.3">
      <c r="A12" t="s">
        <v>127</v>
      </c>
      <c r="B12" t="s">
        <v>150</v>
      </c>
    </row>
    <row r="13" spans="1:2" x14ac:dyDescent="0.3">
      <c r="A13" t="s">
        <v>152</v>
      </c>
      <c r="B13" t="s">
        <v>141</v>
      </c>
    </row>
    <row r="14" spans="1:2" x14ac:dyDescent="0.3">
      <c r="A14" t="s">
        <v>153</v>
      </c>
      <c r="B14" t="s">
        <v>141</v>
      </c>
    </row>
    <row r="15" spans="1:2" x14ac:dyDescent="0.3">
      <c r="A15" t="s">
        <v>154</v>
      </c>
      <c r="B15" t="s">
        <v>141</v>
      </c>
    </row>
    <row r="16" spans="1:2" x14ac:dyDescent="0.3">
      <c r="A16" t="s">
        <v>155</v>
      </c>
      <c r="B16" t="s">
        <v>150</v>
      </c>
    </row>
    <row r="17" spans="1:2" x14ac:dyDescent="0.3">
      <c r="A17" t="s">
        <v>156</v>
      </c>
      <c r="B17" t="s">
        <v>141</v>
      </c>
    </row>
    <row r="18" spans="1:2" x14ac:dyDescent="0.3">
      <c r="A18" t="s">
        <v>157</v>
      </c>
      <c r="B18" t="s">
        <v>141</v>
      </c>
    </row>
    <row r="19" spans="1:2" x14ac:dyDescent="0.3">
      <c r="A19" t="s">
        <v>158</v>
      </c>
      <c r="B19" t="s">
        <v>141</v>
      </c>
    </row>
    <row r="20" spans="1:2" x14ac:dyDescent="0.3">
      <c r="A20" t="s">
        <v>159</v>
      </c>
      <c r="B20" t="s">
        <v>150</v>
      </c>
    </row>
    <row r="21" spans="1:2" x14ac:dyDescent="0.3">
      <c r="A21" t="s">
        <v>160</v>
      </c>
      <c r="B21" t="s">
        <v>141</v>
      </c>
    </row>
    <row r="22" spans="1:2" x14ac:dyDescent="0.3">
      <c r="A22" t="s">
        <v>161</v>
      </c>
      <c r="B22" t="s">
        <v>150</v>
      </c>
    </row>
    <row r="23" spans="1:2" x14ac:dyDescent="0.3">
      <c r="A23" t="s">
        <v>162</v>
      </c>
      <c r="B23" t="s">
        <v>150</v>
      </c>
    </row>
    <row r="24" spans="1:2" x14ac:dyDescent="0.3">
      <c r="A24" t="s">
        <v>163</v>
      </c>
      <c r="B24" t="s">
        <v>150</v>
      </c>
    </row>
    <row r="25" spans="1:2" x14ac:dyDescent="0.3">
      <c r="A25" t="s">
        <v>164</v>
      </c>
      <c r="B25" t="s">
        <v>141</v>
      </c>
    </row>
    <row r="26" spans="1:2" x14ac:dyDescent="0.3">
      <c r="A26" t="s">
        <v>165</v>
      </c>
      <c r="B26" t="s">
        <v>150</v>
      </c>
    </row>
    <row r="27" spans="1:2" x14ac:dyDescent="0.3">
      <c r="A27" t="s">
        <v>166</v>
      </c>
      <c r="B27" t="s">
        <v>141</v>
      </c>
    </row>
    <row r="28" spans="1:2" x14ac:dyDescent="0.3">
      <c r="A28" t="s">
        <v>28</v>
      </c>
      <c r="B28" t="s">
        <v>150</v>
      </c>
    </row>
    <row r="29" spans="1:2" x14ac:dyDescent="0.3">
      <c r="A29" t="s">
        <v>71</v>
      </c>
      <c r="B29" t="s">
        <v>150</v>
      </c>
    </row>
    <row r="30" spans="1:2" x14ac:dyDescent="0.3">
      <c r="A30" t="s">
        <v>167</v>
      </c>
      <c r="B30" t="s">
        <v>141</v>
      </c>
    </row>
    <row r="31" spans="1:2" x14ac:dyDescent="0.3">
      <c r="A31" t="s">
        <v>168</v>
      </c>
      <c r="B31" t="s">
        <v>150</v>
      </c>
    </row>
    <row r="32" spans="1:2" x14ac:dyDescent="0.3">
      <c r="A32" t="s">
        <v>169</v>
      </c>
      <c r="B32" t="s">
        <v>150</v>
      </c>
    </row>
    <row r="33" spans="1:2" x14ac:dyDescent="0.3">
      <c r="A33" t="s">
        <v>170</v>
      </c>
      <c r="B33" t="s">
        <v>150</v>
      </c>
    </row>
    <row r="34" spans="1:2" x14ac:dyDescent="0.3">
      <c r="A34" t="s">
        <v>171</v>
      </c>
      <c r="B34" t="s">
        <v>141</v>
      </c>
    </row>
    <row r="35" spans="1:2" x14ac:dyDescent="0.3">
      <c r="A35" t="s">
        <v>172</v>
      </c>
      <c r="B35" t="s">
        <v>150</v>
      </c>
    </row>
    <row r="36" spans="1:2" x14ac:dyDescent="0.3">
      <c r="A36" t="s">
        <v>173</v>
      </c>
      <c r="B36" t="s">
        <v>150</v>
      </c>
    </row>
    <row r="37" spans="1:2" x14ac:dyDescent="0.3">
      <c r="A37" t="s">
        <v>46</v>
      </c>
      <c r="B37" t="s">
        <v>146</v>
      </c>
    </row>
    <row r="38" spans="1:2" x14ac:dyDescent="0.3">
      <c r="A38" t="s">
        <v>174</v>
      </c>
      <c r="B38" t="s">
        <v>146</v>
      </c>
    </row>
    <row r="39" spans="1:2" x14ac:dyDescent="0.3">
      <c r="A39" t="s">
        <v>40</v>
      </c>
      <c r="B39" t="s">
        <v>146</v>
      </c>
    </row>
    <row r="40" spans="1:2" x14ac:dyDescent="0.3">
      <c r="A40" t="s">
        <v>131</v>
      </c>
      <c r="B40" t="s">
        <v>146</v>
      </c>
    </row>
    <row r="41" spans="1:2" x14ac:dyDescent="0.3">
      <c r="A41" t="s">
        <v>175</v>
      </c>
      <c r="B41" t="s">
        <v>146</v>
      </c>
    </row>
    <row r="42" spans="1:2" x14ac:dyDescent="0.3">
      <c r="A42" t="s">
        <v>176</v>
      </c>
      <c r="B42" t="s">
        <v>146</v>
      </c>
    </row>
    <row r="43" spans="1:2" x14ac:dyDescent="0.3">
      <c r="A43" t="s">
        <v>130</v>
      </c>
      <c r="B43" t="s">
        <v>146</v>
      </c>
    </row>
    <row r="44" spans="1:2" x14ac:dyDescent="0.3">
      <c r="A44" t="s">
        <v>177</v>
      </c>
      <c r="B44" t="s">
        <v>146</v>
      </c>
    </row>
    <row r="45" spans="1:2" x14ac:dyDescent="0.3">
      <c r="A45" t="s">
        <v>36</v>
      </c>
      <c r="B45" t="s">
        <v>146</v>
      </c>
    </row>
    <row r="46" spans="1:2" x14ac:dyDescent="0.3">
      <c r="A46" t="s">
        <v>66</v>
      </c>
      <c r="B46" t="s">
        <v>146</v>
      </c>
    </row>
    <row r="47" spans="1:2" x14ac:dyDescent="0.3">
      <c r="A47" t="s">
        <v>25</v>
      </c>
      <c r="B47" t="s">
        <v>146</v>
      </c>
    </row>
    <row r="48" spans="1:2" x14ac:dyDescent="0.3">
      <c r="A48" t="s">
        <v>78</v>
      </c>
      <c r="B48" t="s">
        <v>146</v>
      </c>
    </row>
    <row r="49" spans="1:2" x14ac:dyDescent="0.3">
      <c r="A49" t="s">
        <v>35</v>
      </c>
      <c r="B49" t="s">
        <v>146</v>
      </c>
    </row>
    <row r="50" spans="1:2" x14ac:dyDescent="0.3">
      <c r="A50" t="s">
        <v>38</v>
      </c>
      <c r="B50" t="s">
        <v>146</v>
      </c>
    </row>
    <row r="51" spans="1:2" x14ac:dyDescent="0.3">
      <c r="A51" t="s">
        <v>34</v>
      </c>
      <c r="B51" t="s">
        <v>146</v>
      </c>
    </row>
    <row r="52" spans="1:2" x14ac:dyDescent="0.3">
      <c r="A52" t="s">
        <v>178</v>
      </c>
      <c r="B52" t="s">
        <v>141</v>
      </c>
    </row>
    <row r="53" spans="1:2" x14ac:dyDescent="0.3">
      <c r="A53" t="s">
        <v>179</v>
      </c>
      <c r="B53" t="s">
        <v>150</v>
      </c>
    </row>
    <row r="54" spans="1:2" x14ac:dyDescent="0.3">
      <c r="A54" t="s">
        <v>180</v>
      </c>
      <c r="B54" t="s">
        <v>141</v>
      </c>
    </row>
    <row r="55" spans="1:2" x14ac:dyDescent="0.3">
      <c r="A55" t="s">
        <v>181</v>
      </c>
      <c r="B55" t="s">
        <v>150</v>
      </c>
    </row>
    <row r="56" spans="1:2" x14ac:dyDescent="0.3">
      <c r="A56" t="s">
        <v>182</v>
      </c>
      <c r="B56" t="s">
        <v>141</v>
      </c>
    </row>
    <row r="57" spans="1:2" x14ac:dyDescent="0.3">
      <c r="A57" t="s">
        <v>183</v>
      </c>
      <c r="B57" t="s">
        <v>150</v>
      </c>
    </row>
    <row r="58" spans="1:2" x14ac:dyDescent="0.3">
      <c r="A58" t="s">
        <v>45</v>
      </c>
      <c r="B58" t="s">
        <v>150</v>
      </c>
    </row>
    <row r="59" spans="1:2" x14ac:dyDescent="0.3">
      <c r="A59" t="s">
        <v>184</v>
      </c>
      <c r="B59" t="s">
        <v>150</v>
      </c>
    </row>
    <row r="60" spans="1:2" x14ac:dyDescent="0.3">
      <c r="A60" t="s">
        <v>185</v>
      </c>
      <c r="B60" t="s">
        <v>150</v>
      </c>
    </row>
    <row r="61" spans="1:2" x14ac:dyDescent="0.3">
      <c r="A61" t="s">
        <v>186</v>
      </c>
      <c r="B61" t="s">
        <v>150</v>
      </c>
    </row>
    <row r="62" spans="1:2" x14ac:dyDescent="0.3">
      <c r="A62" t="s">
        <v>187</v>
      </c>
      <c r="B62" t="s">
        <v>146</v>
      </c>
    </row>
    <row r="63" spans="1:2" x14ac:dyDescent="0.3">
      <c r="A63" t="s">
        <v>56</v>
      </c>
      <c r="B63" t="s">
        <v>146</v>
      </c>
    </row>
    <row r="64" spans="1:2" x14ac:dyDescent="0.3">
      <c r="A64" t="s">
        <v>50</v>
      </c>
      <c r="B64" t="s">
        <v>146</v>
      </c>
    </row>
    <row r="65" spans="1:2" x14ac:dyDescent="0.3">
      <c r="A65" t="s">
        <v>188</v>
      </c>
      <c r="B65" t="s">
        <v>146</v>
      </c>
    </row>
    <row r="66" spans="1:2" x14ac:dyDescent="0.3">
      <c r="A66" t="s">
        <v>101</v>
      </c>
      <c r="B66" t="s">
        <v>146</v>
      </c>
    </row>
    <row r="67" spans="1:2" x14ac:dyDescent="0.3">
      <c r="A67" t="s">
        <v>189</v>
      </c>
      <c r="B67" t="s">
        <v>150</v>
      </c>
    </row>
    <row r="68" spans="1:2" x14ac:dyDescent="0.3">
      <c r="A68" t="s">
        <v>39</v>
      </c>
      <c r="B68" t="s">
        <v>150</v>
      </c>
    </row>
    <row r="69" spans="1:2" x14ac:dyDescent="0.3">
      <c r="A69" t="s">
        <v>58</v>
      </c>
      <c r="B69" t="s">
        <v>141</v>
      </c>
    </row>
    <row r="70" spans="1:2" x14ac:dyDescent="0.3">
      <c r="A70" t="s">
        <v>55</v>
      </c>
      <c r="B70" t="s">
        <v>141</v>
      </c>
    </row>
    <row r="71" spans="1:2" x14ac:dyDescent="0.3">
      <c r="A71" t="s">
        <v>190</v>
      </c>
      <c r="B71" t="s">
        <v>150</v>
      </c>
    </row>
    <row r="72" spans="1:2" x14ac:dyDescent="0.3">
      <c r="A72" t="s">
        <v>191</v>
      </c>
      <c r="B72" t="s">
        <v>150</v>
      </c>
    </row>
    <row r="73" spans="1:2" x14ac:dyDescent="0.3">
      <c r="A73" t="s">
        <v>192</v>
      </c>
      <c r="B73" t="s">
        <v>150</v>
      </c>
    </row>
    <row r="74" spans="1:2" x14ac:dyDescent="0.3">
      <c r="A74" t="s">
        <v>193</v>
      </c>
      <c r="B74" t="s">
        <v>150</v>
      </c>
    </row>
    <row r="75" spans="1:2" x14ac:dyDescent="0.3">
      <c r="A75" t="s">
        <v>194</v>
      </c>
      <c r="B75" t="s">
        <v>150</v>
      </c>
    </row>
    <row r="76" spans="1:2" x14ac:dyDescent="0.3">
      <c r="A76" t="s">
        <v>195</v>
      </c>
      <c r="B76" t="s">
        <v>150</v>
      </c>
    </row>
    <row r="77" spans="1:2" x14ac:dyDescent="0.3">
      <c r="A77" t="s">
        <v>72</v>
      </c>
      <c r="B77" t="s">
        <v>146</v>
      </c>
    </row>
    <row r="78" spans="1:2" x14ac:dyDescent="0.3">
      <c r="A78" t="s">
        <v>51</v>
      </c>
      <c r="B78" t="s">
        <v>141</v>
      </c>
    </row>
    <row r="79" spans="1:2" x14ac:dyDescent="0.3">
      <c r="A79" t="s">
        <v>196</v>
      </c>
      <c r="B79" t="s">
        <v>150</v>
      </c>
    </row>
    <row r="80" spans="1:2" x14ac:dyDescent="0.3">
      <c r="A80" t="s">
        <v>197</v>
      </c>
      <c r="B80" t="s">
        <v>150</v>
      </c>
    </row>
    <row r="81" spans="1:2" x14ac:dyDescent="0.3">
      <c r="A81" t="s">
        <v>198</v>
      </c>
      <c r="B81" t="s">
        <v>141</v>
      </c>
    </row>
    <row r="82" spans="1:2" x14ac:dyDescent="0.3">
      <c r="A82" t="s">
        <v>60</v>
      </c>
      <c r="B82" t="s">
        <v>141</v>
      </c>
    </row>
    <row r="83" spans="1:2" x14ac:dyDescent="0.3">
      <c r="A83" t="s">
        <v>199</v>
      </c>
      <c r="B83" t="s">
        <v>150</v>
      </c>
    </row>
    <row r="84" spans="1:2" x14ac:dyDescent="0.3">
      <c r="A84" t="s">
        <v>200</v>
      </c>
      <c r="B84" t="s">
        <v>146</v>
      </c>
    </row>
    <row r="85" spans="1:2" x14ac:dyDescent="0.3">
      <c r="A85" t="s">
        <v>79</v>
      </c>
      <c r="B85" t="s">
        <v>146</v>
      </c>
    </row>
    <row r="86" spans="1:2" x14ac:dyDescent="0.3">
      <c r="A86" t="s">
        <v>41</v>
      </c>
      <c r="B86" t="s">
        <v>146</v>
      </c>
    </row>
    <row r="87" spans="1:2" x14ac:dyDescent="0.3">
      <c r="A87" t="s">
        <v>201</v>
      </c>
      <c r="B87" t="s">
        <v>150</v>
      </c>
    </row>
    <row r="88" spans="1:2" x14ac:dyDescent="0.3">
      <c r="A88" t="s">
        <v>202</v>
      </c>
      <c r="B88" t="s">
        <v>150</v>
      </c>
    </row>
    <row r="89" spans="1:2" x14ac:dyDescent="0.3">
      <c r="A89" t="s">
        <v>203</v>
      </c>
      <c r="B89" t="s">
        <v>141</v>
      </c>
    </row>
    <row r="90" spans="1:2" x14ac:dyDescent="0.3">
      <c r="A90" t="s">
        <v>15</v>
      </c>
      <c r="B90" t="s">
        <v>141</v>
      </c>
    </row>
    <row r="91" spans="1:2" x14ac:dyDescent="0.3">
      <c r="A91" t="s">
        <v>52</v>
      </c>
      <c r="B91" t="s">
        <v>141</v>
      </c>
    </row>
    <row r="92" spans="1:2" x14ac:dyDescent="0.3">
      <c r="A92" t="s">
        <v>204</v>
      </c>
      <c r="B92" t="s">
        <v>146</v>
      </c>
    </row>
    <row r="93" spans="1:2" x14ac:dyDescent="0.3">
      <c r="A93" t="s">
        <v>205</v>
      </c>
      <c r="B93" t="s">
        <v>146</v>
      </c>
    </row>
    <row r="94" spans="1:2" x14ac:dyDescent="0.3">
      <c r="A94" t="s">
        <v>206</v>
      </c>
      <c r="B94" t="s">
        <v>146</v>
      </c>
    </row>
    <row r="95" spans="1:2" x14ac:dyDescent="0.3">
      <c r="A95" t="s">
        <v>129</v>
      </c>
      <c r="B95" t="s">
        <v>146</v>
      </c>
    </row>
    <row r="96" spans="1:2" x14ac:dyDescent="0.3">
      <c r="A96" t="s">
        <v>207</v>
      </c>
      <c r="B96" t="s">
        <v>150</v>
      </c>
    </row>
    <row r="97" spans="1:2" x14ac:dyDescent="0.3">
      <c r="A97" t="s">
        <v>208</v>
      </c>
      <c r="B97" t="s">
        <v>146</v>
      </c>
    </row>
    <row r="98" spans="1:2" x14ac:dyDescent="0.3">
      <c r="A98" t="s">
        <v>209</v>
      </c>
      <c r="B98" t="s">
        <v>146</v>
      </c>
    </row>
    <row r="99" spans="1:2" x14ac:dyDescent="0.3">
      <c r="A99" t="s">
        <v>210</v>
      </c>
      <c r="B99" t="s">
        <v>141</v>
      </c>
    </row>
    <row r="100" spans="1:2" x14ac:dyDescent="0.3">
      <c r="A100" t="s">
        <v>64</v>
      </c>
      <c r="B100" t="s">
        <v>141</v>
      </c>
    </row>
    <row r="101" spans="1:2" x14ac:dyDescent="0.3">
      <c r="A101" t="s">
        <v>211</v>
      </c>
      <c r="B101" t="s">
        <v>141</v>
      </c>
    </row>
    <row r="102" spans="1:2" x14ac:dyDescent="0.3">
      <c r="A102" t="s">
        <v>212</v>
      </c>
      <c r="B102" t="s">
        <v>141</v>
      </c>
    </row>
    <row r="103" spans="1:2" x14ac:dyDescent="0.3">
      <c r="A103" t="s">
        <v>213</v>
      </c>
      <c r="B103" t="s">
        <v>141</v>
      </c>
    </row>
    <row r="104" spans="1:2" x14ac:dyDescent="0.3">
      <c r="A104" t="s">
        <v>81</v>
      </c>
      <c r="B104" t="s">
        <v>150</v>
      </c>
    </row>
    <row r="105" spans="1:2" x14ac:dyDescent="0.3">
      <c r="A105" t="s">
        <v>214</v>
      </c>
      <c r="B105" t="s">
        <v>146</v>
      </c>
    </row>
    <row r="106" spans="1:2" x14ac:dyDescent="0.3">
      <c r="A106" t="s">
        <v>215</v>
      </c>
      <c r="B106" t="s">
        <v>146</v>
      </c>
    </row>
    <row r="107" spans="1:2" x14ac:dyDescent="0.3">
      <c r="A107" t="s">
        <v>216</v>
      </c>
      <c r="B107" t="s">
        <v>150</v>
      </c>
    </row>
    <row r="108" spans="1:2" x14ac:dyDescent="0.3">
      <c r="A108" t="s">
        <v>217</v>
      </c>
      <c r="B108" t="s">
        <v>150</v>
      </c>
    </row>
    <row r="109" spans="1:2" x14ac:dyDescent="0.3">
      <c r="A109" t="s">
        <v>119</v>
      </c>
      <c r="B109" t="s">
        <v>146</v>
      </c>
    </row>
    <row r="110" spans="1:2" x14ac:dyDescent="0.3">
      <c r="A110" t="s">
        <v>218</v>
      </c>
      <c r="B110" t="s">
        <v>150</v>
      </c>
    </row>
    <row r="111" spans="1:2" x14ac:dyDescent="0.3">
      <c r="A111" t="s">
        <v>219</v>
      </c>
      <c r="B111" t="s">
        <v>141</v>
      </c>
    </row>
    <row r="112" spans="1:2" x14ac:dyDescent="0.3">
      <c r="A112" t="s">
        <v>18</v>
      </c>
      <c r="B112" t="s">
        <v>141</v>
      </c>
    </row>
    <row r="113" spans="1:2" x14ac:dyDescent="0.3">
      <c r="A113" t="s">
        <v>220</v>
      </c>
      <c r="B113" t="s">
        <v>150</v>
      </c>
    </row>
    <row r="114" spans="1:2" x14ac:dyDescent="0.3">
      <c r="A114" t="s">
        <v>221</v>
      </c>
      <c r="B114" t="s">
        <v>150</v>
      </c>
    </row>
    <row r="115" spans="1:2" x14ac:dyDescent="0.3">
      <c r="A115" t="s">
        <v>29</v>
      </c>
      <c r="B115" t="s">
        <v>141</v>
      </c>
    </row>
    <row r="116" spans="1:2" x14ac:dyDescent="0.3">
      <c r="A116" t="s">
        <v>222</v>
      </c>
      <c r="B116" t="s">
        <v>150</v>
      </c>
    </row>
    <row r="117" spans="1:2" x14ac:dyDescent="0.3">
      <c r="A117" t="s">
        <v>62</v>
      </c>
      <c r="B117" t="s">
        <v>150</v>
      </c>
    </row>
    <row r="118" spans="1:2" x14ac:dyDescent="0.3">
      <c r="A118" t="s">
        <v>123</v>
      </c>
      <c r="B118" t="s">
        <v>150</v>
      </c>
    </row>
    <row r="119" spans="1:2" x14ac:dyDescent="0.3">
      <c r="A119" t="s">
        <v>80</v>
      </c>
      <c r="B119" t="s">
        <v>141</v>
      </c>
    </row>
    <row r="120" spans="1:2" x14ac:dyDescent="0.3">
      <c r="A120" t="s">
        <v>223</v>
      </c>
      <c r="B120" t="s">
        <v>150</v>
      </c>
    </row>
    <row r="121" spans="1:2" x14ac:dyDescent="0.3">
      <c r="A121" t="s">
        <v>59</v>
      </c>
      <c r="B121" t="s">
        <v>141</v>
      </c>
    </row>
    <row r="122" spans="1:2" x14ac:dyDescent="0.3">
      <c r="A122" t="s">
        <v>224</v>
      </c>
      <c r="B122" t="s">
        <v>141</v>
      </c>
    </row>
    <row r="123" spans="1:2" x14ac:dyDescent="0.3">
      <c r="A123" t="s">
        <v>225</v>
      </c>
      <c r="B123" t="s">
        <v>150</v>
      </c>
    </row>
    <row r="124" spans="1:2" x14ac:dyDescent="0.3">
      <c r="A124" t="s">
        <v>226</v>
      </c>
      <c r="B124" t="s">
        <v>141</v>
      </c>
    </row>
    <row r="125" spans="1:2" x14ac:dyDescent="0.3">
      <c r="A125" t="s">
        <v>70</v>
      </c>
      <c r="B125" t="s">
        <v>150</v>
      </c>
    </row>
    <row r="126" spans="1:2" x14ac:dyDescent="0.3">
      <c r="A126" t="s">
        <v>49</v>
      </c>
      <c r="B126" t="s">
        <v>141</v>
      </c>
    </row>
    <row r="127" spans="1:2" x14ac:dyDescent="0.3">
      <c r="A127" t="s">
        <v>227</v>
      </c>
      <c r="B127" t="s">
        <v>150</v>
      </c>
    </row>
    <row r="128" spans="1:2" x14ac:dyDescent="0.3">
      <c r="A128" t="s">
        <v>124</v>
      </c>
      <c r="B128" t="s">
        <v>141</v>
      </c>
    </row>
    <row r="129" spans="1:2" x14ac:dyDescent="0.3">
      <c r="A129" t="s">
        <v>128</v>
      </c>
      <c r="B129" t="s">
        <v>146</v>
      </c>
    </row>
    <row r="130" spans="1:2" x14ac:dyDescent="0.3">
      <c r="A130" t="s">
        <v>31</v>
      </c>
      <c r="B130" t="s">
        <v>146</v>
      </c>
    </row>
    <row r="131" spans="1:2" x14ac:dyDescent="0.3">
      <c r="A131" t="s">
        <v>228</v>
      </c>
      <c r="B131" t="s">
        <v>150</v>
      </c>
    </row>
    <row r="132" spans="1:2" x14ac:dyDescent="0.3">
      <c r="A132" t="s">
        <v>20</v>
      </c>
      <c r="B132" t="s">
        <v>150</v>
      </c>
    </row>
    <row r="133" spans="1:2" x14ac:dyDescent="0.3">
      <c r="A133" t="s">
        <v>229</v>
      </c>
      <c r="B133" t="s">
        <v>150</v>
      </c>
    </row>
    <row r="134" spans="1:2" x14ac:dyDescent="0.3">
      <c r="A134" t="s">
        <v>230</v>
      </c>
      <c r="B134" t="s">
        <v>150</v>
      </c>
    </row>
    <row r="135" spans="1:2" x14ac:dyDescent="0.3">
      <c r="A135" t="s">
        <v>231</v>
      </c>
      <c r="B135" t="s">
        <v>150</v>
      </c>
    </row>
    <row r="136" spans="1:2" x14ac:dyDescent="0.3">
      <c r="A136" t="s">
        <v>120</v>
      </c>
      <c r="B136" t="s">
        <v>146</v>
      </c>
    </row>
    <row r="137" spans="1:2" x14ac:dyDescent="0.3">
      <c r="A137" t="s">
        <v>54</v>
      </c>
      <c r="B137" t="s">
        <v>146</v>
      </c>
    </row>
    <row r="138" spans="1:2" x14ac:dyDescent="0.3">
      <c r="A138" t="s">
        <v>94</v>
      </c>
      <c r="B138" t="s">
        <v>141</v>
      </c>
    </row>
    <row r="139" spans="1:2" x14ac:dyDescent="0.3">
      <c r="A139" t="s">
        <v>23</v>
      </c>
      <c r="B139" t="s">
        <v>141</v>
      </c>
    </row>
    <row r="140" spans="1:2" x14ac:dyDescent="0.3">
      <c r="A140" t="s">
        <v>232</v>
      </c>
      <c r="B140" t="s">
        <v>150</v>
      </c>
    </row>
    <row r="141" spans="1:2" x14ac:dyDescent="0.3">
      <c r="A141" t="s">
        <v>121</v>
      </c>
      <c r="B141" t="s">
        <v>146</v>
      </c>
    </row>
    <row r="142" spans="1:2" x14ac:dyDescent="0.3">
      <c r="A142" t="s">
        <v>27</v>
      </c>
      <c r="B142" t="s">
        <v>146</v>
      </c>
    </row>
    <row r="143" spans="1:2" x14ac:dyDescent="0.3">
      <c r="A143" t="s">
        <v>61</v>
      </c>
      <c r="B143" t="s">
        <v>150</v>
      </c>
    </row>
    <row r="144" spans="1:2" x14ac:dyDescent="0.3">
      <c r="A144" t="s">
        <v>76</v>
      </c>
      <c r="B144" t="s">
        <v>150</v>
      </c>
    </row>
    <row r="145" spans="1:2" x14ac:dyDescent="0.3">
      <c r="A145" t="s">
        <v>22</v>
      </c>
      <c r="B145" t="s">
        <v>141</v>
      </c>
    </row>
    <row r="146" spans="1:2" x14ac:dyDescent="0.3">
      <c r="A146" t="s">
        <v>77</v>
      </c>
      <c r="B146" t="s">
        <v>150</v>
      </c>
    </row>
    <row r="147" spans="1:2" x14ac:dyDescent="0.3">
      <c r="A147" t="s">
        <v>74</v>
      </c>
      <c r="B147" t="s">
        <v>150</v>
      </c>
    </row>
    <row r="148" spans="1:2" x14ac:dyDescent="0.3">
      <c r="A148" t="s">
        <v>67</v>
      </c>
      <c r="B148" t="s">
        <v>141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B0C44-F2B9-48BA-8229-D0E807A5B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Marco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2025-04-01T18:00:11Z</dcterms:created>
  <dcterms:modified xsi:type="dcterms:W3CDTF">2025-04-08T12:05:14Z</dcterms:modified>
</cp:coreProperties>
</file>