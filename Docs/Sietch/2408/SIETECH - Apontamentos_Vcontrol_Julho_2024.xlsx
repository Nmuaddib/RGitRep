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Meu Drive\Area de trabalho\OCs - Fornecedores\"/>
    </mc:Choice>
  </mc:AlternateContent>
  <xr:revisionPtr revIDLastSave="0" documentId="8_{BD75A897-3B85-41AE-90CE-1CC8DFF30003}" xr6:coauthVersionLast="47" xr6:coauthVersionMax="47" xr10:uidLastSave="{00000000-0000-0000-0000-000000000000}"/>
  <bookViews>
    <workbookView xWindow="-113" yWindow="-113" windowWidth="24267" windowHeight="13023" xr2:uid="{EAB3B9B0-94DC-4ED2-B740-E85E3E15D222}"/>
  </bookViews>
  <sheets>
    <sheet name="Summary" sheetId="3" r:id="rId1"/>
    <sheet name="Julho 2024" sheetId="2" r:id="rId2"/>
    <sheet name="Vlookup" sheetId="1" r:id="rId3"/>
  </sheets>
  <definedNames>
    <definedName name="DadosExternos_1" localSheetId="1" hidden="1">'Julho 2024'!$A$1:$R$47</definedName>
  </definedNames>
  <calcPr calcId="191029"/>
  <pivotCaches>
    <pivotCache cacheId="16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2" l="1"/>
  <c r="P46" i="2" s="1"/>
  <c r="R46" i="2"/>
  <c r="O47" i="2"/>
  <c r="P47" i="2"/>
  <c r="R47" i="2"/>
  <c r="P15" i="2"/>
  <c r="R15" i="2"/>
  <c r="P16" i="2"/>
  <c r="R16" i="2"/>
  <c r="P17" i="2"/>
  <c r="R17" i="2"/>
  <c r="P18" i="2"/>
  <c r="R18" i="2"/>
  <c r="P19" i="2"/>
  <c r="R19" i="2"/>
  <c r="P20" i="2"/>
  <c r="R20" i="2"/>
  <c r="P21" i="2"/>
  <c r="R21" i="2"/>
  <c r="P22" i="2"/>
  <c r="R22" i="2"/>
  <c r="P23" i="2"/>
  <c r="R23" i="2"/>
  <c r="P24" i="2"/>
  <c r="R24" i="2"/>
  <c r="P25" i="2"/>
  <c r="R25" i="2"/>
  <c r="P26" i="2"/>
  <c r="R26" i="2"/>
  <c r="P27" i="2"/>
  <c r="R27" i="2"/>
  <c r="P28" i="2"/>
  <c r="R28" i="2"/>
  <c r="P29" i="2"/>
  <c r="R29" i="2"/>
  <c r="P30" i="2"/>
  <c r="R30" i="2"/>
  <c r="P31" i="2"/>
  <c r="R31" i="2"/>
  <c r="P32" i="2"/>
  <c r="R32" i="2"/>
  <c r="P33" i="2"/>
  <c r="R33" i="2"/>
  <c r="P34" i="2"/>
  <c r="R34" i="2"/>
  <c r="P35" i="2"/>
  <c r="R35" i="2"/>
  <c r="P36" i="2"/>
  <c r="R36" i="2"/>
  <c r="P37" i="2"/>
  <c r="R37" i="2"/>
  <c r="P38" i="2"/>
  <c r="R38" i="2"/>
  <c r="P39" i="2"/>
  <c r="R39" i="2"/>
  <c r="P40" i="2"/>
  <c r="R40" i="2"/>
  <c r="P41" i="2"/>
  <c r="R41" i="2"/>
  <c r="P42" i="2"/>
  <c r="R42" i="2"/>
  <c r="P43" i="2"/>
  <c r="R43" i="2"/>
  <c r="O44" i="2"/>
  <c r="P44" i="2" s="1"/>
  <c r="R44" i="2"/>
  <c r="O45" i="2"/>
  <c r="P45" i="2"/>
  <c r="R45" i="2"/>
  <c r="O11" i="2"/>
  <c r="P11" i="2" s="1"/>
  <c r="R11" i="2"/>
  <c r="O12" i="2"/>
  <c r="P12" i="2"/>
  <c r="R12" i="2"/>
  <c r="O13" i="2"/>
  <c r="P13" i="2"/>
  <c r="R13" i="2"/>
  <c r="O14" i="2"/>
  <c r="P14" i="2"/>
  <c r="R14" i="2"/>
  <c r="O2" i="2"/>
  <c r="P2" i="2" s="1"/>
  <c r="R2" i="2"/>
  <c r="O3" i="2"/>
  <c r="P3" i="2"/>
  <c r="R3" i="2"/>
  <c r="O4" i="2"/>
  <c r="P4" i="2"/>
  <c r="R4" i="2"/>
  <c r="O5" i="2"/>
  <c r="P5" i="2" s="1"/>
  <c r="R5" i="2"/>
  <c r="O6" i="2"/>
  <c r="P6" i="2"/>
  <c r="R6" i="2"/>
  <c r="O7" i="2"/>
  <c r="P7" i="2"/>
  <c r="R7" i="2"/>
  <c r="O8" i="2"/>
  <c r="P8" i="2" s="1"/>
  <c r="R8" i="2"/>
  <c r="O9" i="2"/>
  <c r="P9" i="2"/>
  <c r="R9" i="2"/>
  <c r="O10" i="2"/>
  <c r="P10" i="2"/>
  <c r="R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00AE44-C46B-4F0D-8247-3365D2223BD2}" keepAlive="1" name="Consulta - ApprovedTimeReport_002_202476" description="Conexão com a consulta 'ApprovedTimeReport_002_202476' na pasta de trabalho." type="5" refreshedVersion="8" background="1" saveData="1">
    <dbPr connection="Provider=Microsoft.Mashup.OleDb.1;Data Source=$Workbook$;Location=ApprovedTimeReport_002_202476;Extended Properties=&quot;&quot;" command="SELECT * FROM [ApprovedTimeReport_002_202476]"/>
  </connection>
</connections>
</file>

<file path=xl/sharedStrings.xml><?xml version="1.0" encoding="utf-8"?>
<sst xmlns="http://schemas.openxmlformats.org/spreadsheetml/2006/main" count="548" uniqueCount="178">
  <si>
    <t>FunnelID</t>
  </si>
  <si>
    <t>Work Date</t>
  </si>
  <si>
    <t>Date TimeSheet</t>
  </si>
  <si>
    <t>CCID</t>
  </si>
  <si>
    <t>Year</t>
  </si>
  <si>
    <t>Month</t>
  </si>
  <si>
    <t>Day</t>
  </si>
  <si>
    <t>Week</t>
  </si>
  <si>
    <t>Time Actual</t>
  </si>
  <si>
    <t>Company</t>
  </si>
  <si>
    <t>Resource Name</t>
  </si>
  <si>
    <t>Role</t>
  </si>
  <si>
    <t>Comments</t>
  </si>
  <si>
    <t>CostRate</t>
  </si>
  <si>
    <t>Customer Name</t>
  </si>
  <si>
    <t>A7lAPT28665</t>
  </si>
  <si>
    <t>APTIV Man e Serv de Distr. Ltda</t>
  </si>
  <si>
    <t>SOW</t>
  </si>
  <si>
    <t>406-VCK498</t>
  </si>
  <si>
    <t>Joyson safety System Brasil Ltda</t>
  </si>
  <si>
    <t>NB-Universidades</t>
  </si>
  <si>
    <t>Vockan Consulting Ltda</t>
  </si>
  <si>
    <t>002-VCKDSCPQAD</t>
  </si>
  <si>
    <t>434-VCK448</t>
  </si>
  <si>
    <t>AMVAC do Brasil Representacoes</t>
  </si>
  <si>
    <t>NB-Squad_DevTec</t>
  </si>
  <si>
    <t>NB-Consultoria-Tec&amp;Dev</t>
  </si>
  <si>
    <t>452-VCK476</t>
  </si>
  <si>
    <t>Program Manager</t>
  </si>
  <si>
    <t>NB01</t>
  </si>
  <si>
    <t>NB-Projetos e Consultoria</t>
  </si>
  <si>
    <t>NB-Scrum-Dev</t>
  </si>
  <si>
    <t>CO05</t>
  </si>
  <si>
    <t>484-VCK514</t>
  </si>
  <si>
    <t>Sietech</t>
  </si>
  <si>
    <t>Nelson Simoes</t>
  </si>
  <si>
    <t>Project Manager</t>
  </si>
  <si>
    <t>Planejamento de atividades para sprint 12, OD 402, 403, 406, 407, 391, 268, 354</t>
  </si>
  <si>
    <t>Freudenberg Nok Comp Br Ltd</t>
  </si>
  <si>
    <t>Planejamento de atividades para Sprint 12, OD 322, 355, 405</t>
  </si>
  <si>
    <t>HUF do Brasil Ltda</t>
  </si>
  <si>
    <t>Planejamento Sprint 12, 1:1 Andre</t>
  </si>
  <si>
    <t>DOSCOBQAD</t>
  </si>
  <si>
    <t>970-VCK514</t>
  </si>
  <si>
    <t>370-vck22</t>
  </si>
  <si>
    <t>151-VckTow</t>
  </si>
  <si>
    <t>368-VCK490</t>
  </si>
  <si>
    <t>043-VckHuf</t>
  </si>
  <si>
    <t>089-vckand</t>
  </si>
  <si>
    <t>155-vckZF</t>
  </si>
  <si>
    <t>068-vckcar</t>
  </si>
  <si>
    <t>131-VckAut</t>
  </si>
  <si>
    <t>USP15072</t>
  </si>
  <si>
    <t>NBP-PREVENDA</t>
  </si>
  <si>
    <t>SUP-Outros Projetos</t>
  </si>
  <si>
    <t>NBP-PE-PLAN12</t>
  </si>
  <si>
    <t>SUP-Reuniao</t>
  </si>
  <si>
    <t>SUP-Apontamento</t>
  </si>
  <si>
    <t>SUP-Treinamento</t>
  </si>
  <si>
    <t>NBP-PE-PLAN10</t>
  </si>
  <si>
    <t>Roleplay fase dois do roteiro, discovery</t>
  </si>
  <si>
    <t>362-VCK528</t>
  </si>
  <si>
    <t>100-VckHan</t>
  </si>
  <si>
    <t>876-VCK490</t>
  </si>
  <si>
    <t>436-VCK520</t>
  </si>
  <si>
    <t>Fechamento de sprint 11, alinhamento com BPO, alinhamento sobre açoes comerciais com Andre</t>
  </si>
  <si>
    <t>1:1 André, Alinhamento TEC, Scrum dev</t>
  </si>
  <si>
    <t>154-vckZF</t>
  </si>
  <si>
    <t>NBP-QADBR+_Lean</t>
  </si>
  <si>
    <t>Modelo de trabalho SQUAD Produtos, alinhamento sobre mundanças de contrato para BPO Operacional com Alan, Scrum dev</t>
  </si>
  <si>
    <t>952-VCK446</t>
  </si>
  <si>
    <t>090-VckCnh</t>
  </si>
  <si>
    <t>944-VCK528</t>
  </si>
  <si>
    <t>NB-BPO e PMO</t>
  </si>
  <si>
    <t>Preparação de material BPO comercial</t>
  </si>
  <si>
    <t>Dinamica com Exchange, preparação de material</t>
  </si>
  <si>
    <t>950-VCK862</t>
  </si>
  <si>
    <t>Alinhamento com Aptiv e BPO, reunião TEC, Scrum dev</t>
  </si>
  <si>
    <t>Alinhamento com MKT, Scrum, Alinhamento DEV</t>
  </si>
  <si>
    <t>NBP-WEBUI-FIN</t>
  </si>
  <si>
    <t>Capacitação Exchange, Stellantis - Reunião, Alinhamento TEC, Alinhamento com Thiago</t>
  </si>
  <si>
    <t>886-VCK704</t>
  </si>
  <si>
    <t>Primeiro faturamento Agric em prod</t>
  </si>
  <si>
    <t>984-VCK538</t>
  </si>
  <si>
    <t>V-control, Visita a ZF em Limeira</t>
  </si>
  <si>
    <t>NBP-CAIOBA</t>
  </si>
  <si>
    <t>Bitrix, V-control, Alinhamento BPO - Agilista, Alinhamento com Fábio, Propostas BPO</t>
  </si>
  <si>
    <t>Roteiro comercial Exchange - Agilista</t>
  </si>
  <si>
    <t>Reunião Stellantis, Scrum dev, alinhamento Amvac</t>
  </si>
  <si>
    <t>Tratamento de itens na Sprint 10, OD 344, 346</t>
  </si>
  <si>
    <t>095-vckadi</t>
  </si>
  <si>
    <t>Planejamento de Sprint 11</t>
  </si>
  <si>
    <t>Planejamento de itens para Sprint 11, OD 303, 205, 321</t>
  </si>
  <si>
    <t>Alinhamento DEV e TEC</t>
  </si>
  <si>
    <t>074-Vckadi</t>
  </si>
  <si>
    <t>NBP-PLAN107</t>
  </si>
  <si>
    <t>NBP-Capacitacao</t>
  </si>
  <si>
    <t>127-VckAdi</t>
  </si>
  <si>
    <t>NB-VCC</t>
  </si>
  <si>
    <t>Tratamento de chamados OD 268, 207, 115</t>
  </si>
  <si>
    <t>Alinhamento BPO</t>
  </si>
  <si>
    <t>Fechamento sprint 10</t>
  </si>
  <si>
    <t>QSM-660897 - NT2023.004, Scrum dev</t>
  </si>
  <si>
    <t>fwoJoy58673</t>
  </si>
  <si>
    <t>1062-VCK466</t>
  </si>
  <si>
    <t>Alinhamento Agric testes e conversão</t>
  </si>
  <si>
    <t>Bitrix, RFC aptiv, Alinhamento com Thiago, Alinhamento com Fábio - BPO</t>
  </si>
  <si>
    <t>010-VckBim</t>
  </si>
  <si>
    <t>Alinhamento SMRC, Vockan QAD Cloud Support, arquitetura cloud com Skyone, reunião com Valmont</t>
  </si>
  <si>
    <t>061-VckNid</t>
  </si>
  <si>
    <t>Reunião de Quarter, Alinhamento contratção SQUAD, revisão de repositório DEV</t>
  </si>
  <si>
    <t>Revisão de material para reunião de quarter</t>
  </si>
  <si>
    <t>NBP-PE-PLAN23</t>
  </si>
  <si>
    <t>Definição de hierarquia de ofertas de DEV e TEC</t>
  </si>
  <si>
    <t>Compilação de lista de ofertas DEV</t>
  </si>
  <si>
    <t>Revisão de Material comercial - PPTs</t>
  </si>
  <si>
    <t>Revisão do Artigo - Agilista</t>
  </si>
  <si>
    <t>472-VCK450</t>
  </si>
  <si>
    <t>Reunião gerencial e preparação de material, Alinhamento de nova arquitetura cloud com Skyone, Scrum, Alinhamento DEV</t>
  </si>
  <si>
    <t>Alinhamento com High Business, Scrum, Alinhamento TEC</t>
  </si>
  <si>
    <t>Checkpoint de acompanhamento dos Testes Agric, alinhamento com cliente e equipe sobre migração Agric para versão 2022.</t>
  </si>
  <si>
    <t>Reunião sobre playbook agilista e preparação de material</t>
  </si>
  <si>
    <t>Planejamento de atividade OD 17 e 346</t>
  </si>
  <si>
    <t>Planejamento de atividade OD 183 e tratativas de suporte ao BPO</t>
  </si>
  <si>
    <t>Planejamento de atividades OD 323, 115 e 374</t>
  </si>
  <si>
    <t>1:1 André, Reunião Zeis, Planejamento Sprint 10, Candidato squad - Alinhamento com Fabricio e Sildemar</t>
  </si>
  <si>
    <t>Fechamento sprint 9, proposta Clarios, Alinhamento com Koga sobre Optidata, 1:1 BPO</t>
  </si>
  <si>
    <t>Alinhamento de atividades para suporte de desenvolvimento juntamente com Parrillo</t>
  </si>
  <si>
    <t>Tratamento de chamados OD 362 e 363.</t>
  </si>
  <si>
    <t>Alinhamento SMRC, reunião suporte cloud QAD, scrum dev</t>
  </si>
  <si>
    <t>NB-Support</t>
  </si>
  <si>
    <t>CostRate (w/ Taxes)</t>
  </si>
  <si>
    <t>Total Cost</t>
  </si>
  <si>
    <t>Project Type</t>
  </si>
  <si>
    <t>FF</t>
  </si>
  <si>
    <t>128-VckAdi</t>
  </si>
  <si>
    <t>806-Vck446</t>
  </si>
  <si>
    <t>NB</t>
  </si>
  <si>
    <t>049-VckAmv</t>
  </si>
  <si>
    <t>T&amp;M</t>
  </si>
  <si>
    <t>115-VCKCER</t>
  </si>
  <si>
    <t>124-VckMue</t>
  </si>
  <si>
    <t>111-VckNid</t>
  </si>
  <si>
    <t>868-VCKNID</t>
  </si>
  <si>
    <t>046-VckOxb</t>
  </si>
  <si>
    <t>096-VckOxb</t>
  </si>
  <si>
    <t>093-Vckser</t>
  </si>
  <si>
    <t>001-VCKSIT</t>
  </si>
  <si>
    <t>002-VckSIT</t>
  </si>
  <si>
    <t>FWOSMR62794</t>
  </si>
  <si>
    <t>VCK692</t>
  </si>
  <si>
    <t>NB-CloudCert2023</t>
  </si>
  <si>
    <t>NBP-Governanca</t>
  </si>
  <si>
    <t>NB-Treinamento</t>
  </si>
  <si>
    <t>088-VckZod</t>
  </si>
  <si>
    <t>097+110-vckadi</t>
  </si>
  <si>
    <t>788-VCK692</t>
  </si>
  <si>
    <t>858-VCK488</t>
  </si>
  <si>
    <t>ZF_894-VCK542</t>
  </si>
  <si>
    <t>NBP-Implantacao-BPO</t>
  </si>
  <si>
    <t>CSA</t>
  </si>
  <si>
    <t>860-VCK562</t>
  </si>
  <si>
    <t>862-VCK538</t>
  </si>
  <si>
    <t>884-VCK526</t>
  </si>
  <si>
    <t>890-VCK500</t>
  </si>
  <si>
    <t>826-VCK504</t>
  </si>
  <si>
    <t>786-VCK538</t>
  </si>
  <si>
    <t>Rótulos de Linha</t>
  </si>
  <si>
    <t>Total Geral</t>
  </si>
  <si>
    <t>Soma de Time Actual</t>
  </si>
  <si>
    <t>Soma de Total Cost</t>
  </si>
  <si>
    <t>Sietech Total</t>
  </si>
  <si>
    <t>NB Total</t>
  </si>
  <si>
    <t>FF Total</t>
  </si>
  <si>
    <t>T&amp;M Total</t>
  </si>
  <si>
    <t>BRP2131</t>
  </si>
  <si>
    <t>BRP2133</t>
  </si>
  <si>
    <t>BRP2132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</si>
</sst>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#,##0_ ;\-#,##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43" fontId="0" fillId="0" borderId="0" xfId="1" applyFont="1"/>
    <xf numFmtId="43" fontId="0" fillId="0" borderId="0" xfId="0" applyNumberFormat="1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</cellXfs>
  <cellStyles count="2">
    <cellStyle name="Normal" xfId="0" builtinId="0"/>
    <cellStyle name="Vírgula" xfId="1" builtinId="3"/>
  </cellStyles>
  <dxfs count="30"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numFmt numFmtId="165" formatCode="#,##0_ ;\-#,##0\ 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numFmt numFmtId="165" formatCode="#,##0_ ;\-#,##0\ 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8" formatCode="m/d/yyyy"/>
    </dxf>
    <dxf>
      <numFmt numFmtId="19" formatCode="dd/mm/yyyy"/>
    </dxf>
    <dxf>
      <numFmt numFmtId="168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Melo" refreshedDate="45511.47966365741" createdVersion="6" refreshedVersion="8" minRefreshableVersion="3" recordCount="1450" xr:uid="{87E8006C-55C2-48B7-A07C-3C4CA9982AF2}">
  <cacheSource type="worksheet">
    <worksheetSource ref="A1:R1048576" sheet="Julho 2024"/>
  </cacheSource>
  <cacheFields count="18">
    <cacheField name="FunnelID" numFmtId="0">
      <sharedItems containsBlank="1" count="57">
        <s v="434-VCK448"/>
        <s v="A7lAPT28665"/>
        <s v="876-VCK490"/>
        <s v="043-VckHuf"/>
        <s v="406-VCK498"/>
        <s v="NB-Consultoria-Tec&amp;Dev"/>
        <s v="NBP-PE-PLAN10"/>
        <s v="NBP-PE-PLAN12"/>
        <s v="NBP-PE-PLAN23"/>
        <s v="NB-Scrum-Dev"/>
        <m/>
        <s v="074-Vckadi" u="1"/>
        <s v="095-vckadi" u="1"/>
        <s v="127-VckAdi" u="1"/>
        <s v="952-VCK446" u="1"/>
        <s v="NB-Support" u="1"/>
        <s v="370-vck22" u="1"/>
        <s v="472-VCK450" u="1"/>
        <s v="089-vckand" u="1"/>
        <s v="131-VckAut" u="1"/>
        <s v="010-VckBim" u="1"/>
        <s v="1062-VCK466" u="1"/>
        <s v="068-vckcar" u="1"/>
        <s v="452-VCK476" u="1"/>
        <s v="090-VckCnh" u="1"/>
        <s v="368-VCK490" u="1"/>
        <s v="100-VckHan" u="1"/>
        <s v="950-VCK862" u="1"/>
        <s v="fwoJoy58673" u="1"/>
        <s v="886-VCK704" u="1"/>
        <s v="061-VckNid" u="1"/>
        <s v="484-VCK514" u="1"/>
        <s v="970-VCK514" u="1"/>
        <s v="002-VCKDSCPQAD" u="1"/>
        <s v="CSA" u="1"/>
        <s v="436-VCK520" u="1"/>
        <s v="362-VCK528" u="1"/>
        <s v="944-VCK528" u="1"/>
        <s v="151-VckTow" u="1"/>
        <s v="984-VCK538" u="1"/>
        <s v="NB-BPO e PMO" u="1"/>
        <s v="NBP-CAIOBA" u="1"/>
        <s v="NBP-Capacitacao" u="1"/>
        <s v="NBP-PLAN107" u="1"/>
        <s v="NBP-PREVENDA" u="1"/>
        <s v="NBP-QADBR+_Lean" u="1"/>
        <s v="NB-Projetos e Consultoria" u="1"/>
        <s v="NBP-WEBUI-FIN" u="1"/>
        <s v="NB-Squad_DevTec" u="1"/>
        <s v="NB-Universidades" u="1"/>
        <s v="NB-VCC" u="1"/>
        <s v="SUP-Apontamento" u="1"/>
        <s v="SUP-Outros Projetos" u="1"/>
        <s v="SUP-Reuniao" u="1"/>
        <s v="SUP-Treinamento" u="1"/>
        <s v="154-vckZF" u="1"/>
        <s v="155-vckZF" u="1"/>
      </sharedItems>
    </cacheField>
    <cacheField name="Work Date" numFmtId="0">
      <sharedItems containsNonDate="0" containsDate="1" containsString="0" containsBlank="1" minDate="2024-07-01T00:00:00" maxDate="2024-08-01T00:00:00"/>
    </cacheField>
    <cacheField name="Date TimeSheet" numFmtId="0">
      <sharedItems containsNonDate="0" containsDate="1" containsString="0" containsBlank="1" minDate="2024-08-01T00:00:00" maxDate="2024-08-02T00:00:00"/>
    </cacheField>
    <cacheField name="CCID" numFmtId="0">
      <sharedItems containsBlank="1"/>
    </cacheField>
    <cacheField name="Year" numFmtId="0">
      <sharedItems containsString="0" containsBlank="1" containsNumber="1" containsInteger="1" minValue="2024" maxValue="2024"/>
    </cacheField>
    <cacheField name="Month" numFmtId="0">
      <sharedItems containsString="0" containsBlank="1" containsNumber="1" containsInteger="1" minValue="7" maxValue="7"/>
    </cacheField>
    <cacheField name="Day" numFmtId="0">
      <sharedItems containsString="0" containsBlank="1" containsNumber="1" containsInteger="1" minValue="1" maxValue="31"/>
    </cacheField>
    <cacheField name="Week" numFmtId="0">
      <sharedItems containsString="0" containsBlank="1" containsNumber="1" containsInteger="1" minValue="27" maxValue="31"/>
    </cacheField>
    <cacheField name="Time Actual" numFmtId="0">
      <sharedItems containsString="0" containsBlank="1" containsNumber="1" containsInteger="1" minValue="1" maxValue="8"/>
    </cacheField>
    <cacheField name="Company" numFmtId="0">
      <sharedItems containsBlank="1" count="27">
        <s v="Sietech"/>
        <m/>
        <s v="FDV Gprojetos" u="1"/>
        <s v="PHL" u="1"/>
        <s v="Ceta" u="1"/>
        <s v="DMS" u="1"/>
        <s v="TFA" u="1"/>
        <s v="CYP" u="1"/>
        <s v="F2B" u="1"/>
        <s v="RUAH" u="1"/>
        <s v="Web Working" u="1"/>
        <s v="CZ" u="1"/>
        <s v="GMB SERVICOS INFORMATICA" u="1"/>
        <s v="LC" u="1"/>
        <s v="Domain Informatica" u="1"/>
        <s v="NEO" u="1"/>
        <s v="High Business" u="1"/>
        <s v="LF Solucoes TI" u="1"/>
        <s v="ISL" u="1"/>
        <s v="Vockan Consulting" u="1"/>
        <s v="Dzyon" u="1"/>
        <s v="DR Tecnologia" u="1"/>
        <s v="LGATTI" u="1"/>
        <s v="Loss Consultoria" u="1"/>
        <s v="NHvala" u="1"/>
        <s v="ZM Consultoria" u="1"/>
        <s v="AGOB" u="1"/>
      </sharedItems>
    </cacheField>
    <cacheField name="Resource Name" numFmtId="0">
      <sharedItems containsBlank="1" count="47">
        <s v="Nelson Simoes"/>
        <m/>
        <s v="Fernanda Dias-vk" u="1"/>
        <s v="Leandro Senna-vk" u="1"/>
        <s v="Geraldo Silva-vk" u="1"/>
        <s v="Diogo Aguiar-vk" u="1"/>
        <s v="Fabio Costa-vk" u="1"/>
        <s v="Higo Scheunemann-vk" u="1"/>
        <s v="Leonardo Parrillo-vk" u="1"/>
        <s v="Benedito Souza-vk" u="1"/>
        <s v="Thiago Queiros-vk" u="1"/>
        <s v="Andre Parpinelli-vk" u="1"/>
        <s v="Kauane Rocha" u="1"/>
        <s v="Sildemar Sousa-vk" u="1"/>
        <s v="Renato Louzada-vk" u="1"/>
        <s v="Gabriel Brigo-vk" u="1"/>
        <s v="Reginaldo Almeida-vk" u="1"/>
        <s v="Ederson Alexandre-vk" u="1"/>
        <s v="Eduardo Provenzano-vk" u="1"/>
        <s v="Luciana Cavalcante-vk" u="1"/>
        <s v="Jan Lustig" u="1"/>
        <s v="Marcia Silva-vk" u="1"/>
        <s v="Allan Oliveira" u="1"/>
        <s v="Miguel Castaneda-vk" u="1"/>
        <s v="Luiz Alfredo-vk" u="1"/>
        <s v="Eduardo Moreno-vk" u="1"/>
        <s v="Carlos Pitondo-vk" u="1"/>
        <s v="Walter Augusto-vk" u="1"/>
        <s v="Jefte Villar-vk" u="1"/>
        <s v="Leandro Francischinelli" u="1"/>
        <s v="Willian Claros" u="1"/>
        <s v="Pedro Silva-vk" u="1"/>
        <s v="Walter Braz-vk" u="1"/>
        <s v="Ismael Lopes-vk" u="1"/>
        <s v="Vinicius Knipers-vk" u="1"/>
        <s v="Dzyon Consultant-vk" u="1"/>
        <s v="Daniel Amaral-vk" u="1"/>
        <s v="Tiago Semidei" u="1"/>
        <s v="Lincoln Gatti" u="1"/>
        <s v="Guilherme Loss" u="1"/>
        <s v="Nayara Hvala" u="1"/>
        <s v="Marcelo Cunha-vk" u="1"/>
        <s v="Carlos Zambelli-vk" u="1"/>
        <s v="Sergio Ziroldo-vk" u="1"/>
        <s v="Giovana Rodrigues" u="1"/>
        <s v="João Fujii" u="1"/>
        <s v="Ana Bispo" u="1"/>
      </sharedItems>
    </cacheField>
    <cacheField name="Role" numFmtId="0">
      <sharedItems containsBlank="1"/>
    </cacheField>
    <cacheField name="Comments" numFmtId="0">
      <sharedItems containsBlank="1"/>
    </cacheField>
    <cacheField name="CostRate" numFmtId="0">
      <sharedItems containsString="0" containsBlank="1" containsNumber="1" minValue="86.43" maxValue="157"/>
    </cacheField>
    <cacheField name="CostRate (w/ Taxes)" numFmtId="0">
      <sharedItems containsString="0" containsBlank="1" containsNumber="1" minValue="32.143250688705237" maxValue="6000" count="41">
        <n v="173.00275482093664"/>
        <n v="110"/>
        <n v="95.239669421487619"/>
        <m/>
        <n v="140" u="1"/>
        <n v="173" u="1"/>
        <n v="79.592286501377416" u="1"/>
        <n v="124" u="1"/>
        <n v="120.00000000000001" u="1"/>
        <n v="165.00275482093664" u="1"/>
        <n v="240.00000000000003" u="1"/>
        <n v="182.99724517906336" u="1"/>
        <n v="134.99724517906338" u="1"/>
        <n v="50" u="1"/>
        <n v="178.99724517906336" u="1"/>
        <n v="162" u="1"/>
        <n v="222" u="1"/>
        <n v="122.95316804407713" u="1"/>
        <n v="126.99724517906337" u="1"/>
        <n v="114.99724517906337" u="1"/>
        <n v="119" u="1"/>
        <n v="86.247933884297524" u="1"/>
        <n v="160" u="1"/>
        <n v="142.99724517906338" u="1"/>
        <n v="190.00000000000003" u="1"/>
        <n v="65.002754820936644" u="1"/>
        <n v="61.663911845730027" u="1"/>
        <n v="96.000000000000014" u="1"/>
        <n v="180" u="1"/>
        <n v="170" u="1"/>
        <n v="32.143250688705237" u="1"/>
        <n v="40.00440771349863" u="1"/>
        <n v="150" u="1"/>
        <n v="68.749311294765846" u="1"/>
        <n v="78.126721763085413" u="1"/>
        <n v="195" u="1"/>
        <n v="174.99724517906336" u="1"/>
        <n v="94.997245179063356" u="1"/>
        <n v="122" u="1"/>
        <n v="4700" u="1"/>
        <n v="6000" u="1"/>
      </sharedItems>
    </cacheField>
    <cacheField name="Total Cost" numFmtId="0">
      <sharedItems containsString="0" containsBlank="1" containsNumber="1" minValue="173.00275482093664" maxValue="1038.0165289256199"/>
    </cacheField>
    <cacheField name="Customer Name" numFmtId="0">
      <sharedItems containsBlank="1"/>
    </cacheField>
    <cacheField name="Project Type" numFmtId="0">
      <sharedItems containsBlank="1" count="4">
        <s v="FF"/>
        <s v="T&amp;M"/>
        <s v="N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0">
  <r>
    <x v="0"/>
    <d v="2024-07-23T00:00:00"/>
    <d v="2024-08-01T00:00:00"/>
    <s v="SOW"/>
    <n v="2024"/>
    <n v="7"/>
    <n v="23"/>
    <n v="30"/>
    <n v="1"/>
    <x v="0"/>
    <x v="0"/>
    <s v="Project Manager"/>
    <s v="Primeiro faturamento Agric em prod"/>
    <n v="157"/>
    <x v="0"/>
    <n v="173.00275482093664"/>
    <s v="AMVAC do Brasil Representacoes"/>
    <x v="0"/>
  </r>
  <r>
    <x v="0"/>
    <d v="2024-07-15T00:00:00"/>
    <d v="2024-08-01T00:00:00"/>
    <s v="SOW"/>
    <n v="2024"/>
    <n v="7"/>
    <n v="15"/>
    <n v="29"/>
    <n v="1"/>
    <x v="0"/>
    <x v="0"/>
    <s v="Project Manager"/>
    <s v="Alinhamento Agric testes e conversão"/>
    <n v="157"/>
    <x v="0"/>
    <n v="173.00275482093664"/>
    <s v="AMVAC do Brasil Representacoes"/>
    <x v="0"/>
  </r>
  <r>
    <x v="0"/>
    <d v="2024-07-04T00:00:00"/>
    <d v="2024-08-01T00:00:00"/>
    <s v="SOW"/>
    <n v="2024"/>
    <n v="7"/>
    <n v="4"/>
    <n v="27"/>
    <n v="2"/>
    <x v="0"/>
    <x v="0"/>
    <s v="Project Manager"/>
    <s v="Checkpoint de acompanhamento dos Testes Agric, alinhamento com cliente e equipe sobre migração Agric para versão 2022."/>
    <n v="157"/>
    <x v="0"/>
    <n v="346.00550964187329"/>
    <s v="AMVAC do Brasil Representacoes"/>
    <x v="0"/>
  </r>
  <r>
    <x v="0"/>
    <d v="2024-07-03T00:00:00"/>
    <d v="2024-08-01T00:00:00"/>
    <s v="SOW"/>
    <n v="2024"/>
    <n v="7"/>
    <n v="3"/>
    <n v="27"/>
    <n v="1"/>
    <x v="0"/>
    <x v="0"/>
    <s v="Project Manager"/>
    <s v="Planejamento de atividade OD 183 e tratativas de suporte ao BPO"/>
    <n v="157"/>
    <x v="0"/>
    <n v="173.00275482093664"/>
    <s v="AMVAC do Brasil Representacoes"/>
    <x v="0"/>
  </r>
  <r>
    <x v="1"/>
    <d v="2024-07-31T00:00:00"/>
    <d v="2024-08-01T00:00:00"/>
    <s v="CO05"/>
    <n v="2024"/>
    <n v="7"/>
    <n v="31"/>
    <n v="31"/>
    <n v="2"/>
    <x v="0"/>
    <x v="0"/>
    <s v="Project Manager"/>
    <s v="Planejamento de atividades para sprint 12, OD 402, 403, 406, 407, 391, 268, 354"/>
    <n v="157"/>
    <x v="0"/>
    <n v="346.00550964187329"/>
    <s v="APTIV Man e Serv de Distr. Ltda"/>
    <x v="0"/>
  </r>
  <r>
    <x v="1"/>
    <d v="2024-07-17T00:00:00"/>
    <d v="2024-08-01T00:00:00"/>
    <s v="CO05"/>
    <n v="2024"/>
    <n v="7"/>
    <n v="17"/>
    <n v="29"/>
    <n v="1"/>
    <x v="0"/>
    <x v="0"/>
    <s v="Project Manager"/>
    <s v="Planejamento de itens para Sprint 11, OD 303, 205, 321"/>
    <n v="157"/>
    <x v="0"/>
    <n v="173.00275482093664"/>
    <s v="APTIV Man e Serv de Distr. Ltda"/>
    <x v="0"/>
  </r>
  <r>
    <x v="1"/>
    <d v="2024-07-16T00:00:00"/>
    <d v="2024-08-01T00:00:00"/>
    <s v="CO05"/>
    <n v="2024"/>
    <n v="7"/>
    <n v="16"/>
    <n v="29"/>
    <n v="1"/>
    <x v="0"/>
    <x v="0"/>
    <s v="Project Manager"/>
    <s v="Tratamento de chamados OD 268, 207, 115"/>
    <n v="157"/>
    <x v="0"/>
    <n v="173.00275482093664"/>
    <s v="APTIV Man e Serv de Distr. Ltda"/>
    <x v="0"/>
  </r>
  <r>
    <x v="1"/>
    <d v="2024-07-03T00:00:00"/>
    <d v="2024-08-01T00:00:00"/>
    <s v="CO05"/>
    <n v="2024"/>
    <n v="7"/>
    <n v="3"/>
    <n v="27"/>
    <n v="1"/>
    <x v="0"/>
    <x v="0"/>
    <s v="Project Manager"/>
    <s v="Planejamento de atividades OD 323, 115 e 374"/>
    <n v="157"/>
    <x v="0"/>
    <n v="173.00275482093664"/>
    <s v="APTIV Man e Serv de Distr. Ltda"/>
    <x v="0"/>
  </r>
  <r>
    <x v="1"/>
    <d v="2024-07-02T00:00:00"/>
    <d v="2024-08-01T00:00:00"/>
    <s v="CO05"/>
    <n v="2024"/>
    <n v="7"/>
    <n v="2"/>
    <n v="27"/>
    <n v="1"/>
    <x v="0"/>
    <x v="0"/>
    <s v="Project Manager"/>
    <s v="Tratamento de chamados OD 362 e 363."/>
    <n v="157"/>
    <x v="0"/>
    <n v="173.00275482093664"/>
    <s v="APTIV Man e Serv de Distr. Ltda"/>
    <x v="0"/>
  </r>
  <r>
    <x v="2"/>
    <d v="2024-07-02T00:00:00"/>
    <d v="2024-08-01T00:00:00"/>
    <s v="SOW"/>
    <n v="2024"/>
    <n v="7"/>
    <n v="2"/>
    <n v="27"/>
    <n v="1"/>
    <x v="0"/>
    <x v="0"/>
    <s v="Project Manager"/>
    <s v="Alinhamento de atividades para suporte de desenvolvimento juntamente com Parrillo"/>
    <n v="157"/>
    <x v="0"/>
    <n v="173.00275482093664"/>
    <s v="Freudenberg Nok Comp Br Ltd"/>
    <x v="1"/>
  </r>
  <r>
    <x v="3"/>
    <d v="2024-07-17T00:00:00"/>
    <d v="2024-08-01T00:00:00"/>
    <s v="SOW"/>
    <n v="2024"/>
    <n v="7"/>
    <n v="17"/>
    <n v="29"/>
    <n v="1"/>
    <x v="0"/>
    <x v="0"/>
    <s v="Project Manager"/>
    <s v="Tratamento de itens na Sprint 10, OD 344, 346"/>
    <n v="157"/>
    <x v="0"/>
    <n v="173.00275482093664"/>
    <s v="HUF do Brasil Ltda"/>
    <x v="0"/>
  </r>
  <r>
    <x v="3"/>
    <d v="2024-07-03T00:00:00"/>
    <d v="2024-08-01T00:00:00"/>
    <s v="SOW"/>
    <n v="2024"/>
    <n v="7"/>
    <n v="3"/>
    <n v="27"/>
    <n v="1"/>
    <x v="0"/>
    <x v="0"/>
    <s v="Project Manager"/>
    <s v="Planejamento de atividade OD 17 e 346"/>
    <n v="157"/>
    <x v="0"/>
    <n v="173.00275482093664"/>
    <s v="HUF do Brasil Ltda"/>
    <x v="0"/>
  </r>
  <r>
    <x v="4"/>
    <d v="2024-07-31T00:00:00"/>
    <d v="2024-08-01T00:00:00"/>
    <s v="SOW"/>
    <n v="2024"/>
    <n v="7"/>
    <n v="31"/>
    <n v="31"/>
    <n v="2"/>
    <x v="0"/>
    <x v="0"/>
    <s v="Program Manager"/>
    <s v="Planejamento de atividades para Sprint 12, OD 322, 355, 405"/>
    <n v="157"/>
    <x v="0"/>
    <n v="346.00550964187329"/>
    <s v="Joyson safety System Brasil Ltda"/>
    <x v="0"/>
  </r>
  <r>
    <x v="5"/>
    <d v="2024-07-31T00:00:00"/>
    <d v="2024-08-01T00:00:00"/>
    <s v="NB01"/>
    <n v="2024"/>
    <n v="7"/>
    <n v="31"/>
    <n v="31"/>
    <n v="4"/>
    <x v="0"/>
    <x v="0"/>
    <s v="Program Manager"/>
    <s v="Planejamento Sprint 12, 1:1 Andre"/>
    <n v="99.83"/>
    <x v="1"/>
    <n v="440"/>
    <s v="Vockan Consulting Ltda"/>
    <x v="2"/>
  </r>
  <r>
    <x v="5"/>
    <d v="2024-07-30T00:00:00"/>
    <d v="2024-08-01T00:00:00"/>
    <s v="NB01"/>
    <n v="2024"/>
    <n v="7"/>
    <n v="30"/>
    <n v="31"/>
    <n v="6"/>
    <x v="0"/>
    <x v="0"/>
    <s v="Program Manager"/>
    <s v="Fechamento de sprint 11, alinhamento com BPO, alinhamento sobre açoes comerciais com Andre"/>
    <n v="99.83"/>
    <x v="1"/>
    <n v="660"/>
    <s v="Vockan Consulting Ltda"/>
    <x v="2"/>
  </r>
  <r>
    <x v="5"/>
    <d v="2024-07-29T00:00:00"/>
    <d v="2024-08-01T00:00:00"/>
    <s v="NB01"/>
    <n v="2024"/>
    <n v="7"/>
    <n v="29"/>
    <n v="31"/>
    <n v="8"/>
    <x v="0"/>
    <x v="0"/>
    <s v="Program Manager"/>
    <s v="1:1 André, Alinhamento TEC, Scrum dev"/>
    <n v="99.83"/>
    <x v="1"/>
    <n v="880"/>
    <s v="Vockan Consulting Ltda"/>
    <x v="2"/>
  </r>
  <r>
    <x v="5"/>
    <d v="2024-07-26T00:00:00"/>
    <d v="2024-08-01T00:00:00"/>
    <s v="NB01"/>
    <n v="2024"/>
    <n v="7"/>
    <n v="26"/>
    <n v="30"/>
    <n v="8"/>
    <x v="0"/>
    <x v="0"/>
    <s v="Program Manager"/>
    <s v="Modelo de trabalho SQUAD Produtos, alinhamento sobre mundanças de contrato para BPO Operacional com Alan, Scrum dev"/>
    <n v="99.83"/>
    <x v="1"/>
    <n v="880"/>
    <s v="Vockan Consulting Ltda"/>
    <x v="2"/>
  </r>
  <r>
    <x v="5"/>
    <d v="2024-07-25T00:00:00"/>
    <d v="2024-08-01T00:00:00"/>
    <s v="NB01"/>
    <n v="2024"/>
    <n v="7"/>
    <n v="25"/>
    <n v="30"/>
    <n v="4"/>
    <x v="0"/>
    <x v="0"/>
    <s v="Program Manager"/>
    <s v="Alinhamento com Aptiv e BPO, reunião TEC, Scrum dev"/>
    <n v="99.83"/>
    <x v="1"/>
    <n v="440"/>
    <s v="Vockan Consulting Ltda"/>
    <x v="2"/>
  </r>
  <r>
    <x v="5"/>
    <d v="2024-07-24T00:00:00"/>
    <d v="2024-08-01T00:00:00"/>
    <s v="NB01"/>
    <n v="2024"/>
    <n v="7"/>
    <n v="24"/>
    <n v="30"/>
    <n v="6"/>
    <x v="0"/>
    <x v="0"/>
    <s v="Program Manager"/>
    <s v="Alinhamento com MKT, Scrum, Alinhamento DEV"/>
    <n v="99.83"/>
    <x v="1"/>
    <n v="660"/>
    <s v="Vockan Consulting Ltda"/>
    <x v="2"/>
  </r>
  <r>
    <x v="5"/>
    <d v="2024-07-23T00:00:00"/>
    <d v="2024-08-01T00:00:00"/>
    <s v="NB01"/>
    <n v="2024"/>
    <n v="7"/>
    <n v="23"/>
    <n v="30"/>
    <n v="7"/>
    <x v="0"/>
    <x v="0"/>
    <s v="Program Manager"/>
    <s v="Capacitação Exchange, Stellantis - Reunião, Alinhamento TEC, Alinhamento com Thiago"/>
    <n v="99.83"/>
    <x v="1"/>
    <n v="770"/>
    <s v="Vockan Consulting Ltda"/>
    <x v="2"/>
  </r>
  <r>
    <x v="5"/>
    <d v="2024-07-22T00:00:00"/>
    <d v="2024-08-01T00:00:00"/>
    <s v="NB01"/>
    <n v="2024"/>
    <n v="7"/>
    <n v="22"/>
    <n v="30"/>
    <n v="8"/>
    <x v="0"/>
    <x v="0"/>
    <s v="Program Manager"/>
    <s v="V-control, Visita a ZF em Limeira"/>
    <n v="99.83"/>
    <x v="1"/>
    <n v="880"/>
    <s v="Vockan Consulting Ltda"/>
    <x v="2"/>
  </r>
  <r>
    <x v="5"/>
    <d v="2024-07-19T00:00:00"/>
    <d v="2024-08-01T00:00:00"/>
    <s v="NB01"/>
    <n v="2024"/>
    <n v="7"/>
    <n v="19"/>
    <n v="29"/>
    <n v="8"/>
    <x v="0"/>
    <x v="0"/>
    <s v="Program Manager"/>
    <s v="Bitrix, V-control, Alinhamento BPO - Agilista, Alinhamento com Fábio, Propostas BPO"/>
    <n v="99.83"/>
    <x v="1"/>
    <n v="880"/>
    <s v="Vockan Consulting Ltda"/>
    <x v="2"/>
  </r>
  <r>
    <x v="5"/>
    <d v="2024-07-18T00:00:00"/>
    <d v="2024-08-01T00:00:00"/>
    <s v="NB01"/>
    <n v="2024"/>
    <n v="7"/>
    <n v="18"/>
    <n v="29"/>
    <n v="4"/>
    <x v="0"/>
    <x v="0"/>
    <s v="Program Manager"/>
    <s v="Reunião Stellantis, Scrum dev, alinhamento Amvac"/>
    <n v="99.83"/>
    <x v="1"/>
    <n v="440"/>
    <s v="Vockan Consulting Ltda"/>
    <x v="2"/>
  </r>
  <r>
    <x v="5"/>
    <d v="2024-07-17T00:00:00"/>
    <d v="2024-08-01T00:00:00"/>
    <s v="NB01"/>
    <n v="2024"/>
    <n v="7"/>
    <n v="17"/>
    <n v="29"/>
    <n v="4"/>
    <x v="0"/>
    <x v="0"/>
    <s v="Program Manager"/>
    <s v="Alinhamento DEV e TEC"/>
    <n v="99.83"/>
    <x v="1"/>
    <n v="440"/>
    <s v="Vockan Consulting Ltda"/>
    <x v="2"/>
  </r>
  <r>
    <x v="5"/>
    <d v="2024-07-16T00:00:00"/>
    <d v="2024-08-01T00:00:00"/>
    <s v="NB01"/>
    <n v="2024"/>
    <n v="7"/>
    <n v="16"/>
    <n v="29"/>
    <n v="5"/>
    <x v="0"/>
    <x v="0"/>
    <s v="Program Manager"/>
    <s v="Alinhamento BPO"/>
    <n v="99.83"/>
    <x v="1"/>
    <n v="550"/>
    <s v="Vockan Consulting Ltda"/>
    <x v="2"/>
  </r>
  <r>
    <x v="5"/>
    <d v="2024-07-15T00:00:00"/>
    <d v="2024-08-01T00:00:00"/>
    <s v="NB01"/>
    <n v="2024"/>
    <n v="7"/>
    <n v="15"/>
    <n v="29"/>
    <n v="7"/>
    <x v="0"/>
    <x v="0"/>
    <s v="Program Manager"/>
    <s v="QSM-660897 - NT2023.004, Scrum dev"/>
    <n v="99.83"/>
    <x v="1"/>
    <n v="770"/>
    <s v="Vockan Consulting Ltda"/>
    <x v="2"/>
  </r>
  <r>
    <x v="5"/>
    <d v="2024-07-12T00:00:00"/>
    <d v="2024-08-01T00:00:00"/>
    <s v="NB01"/>
    <n v="2024"/>
    <n v="7"/>
    <n v="12"/>
    <n v="28"/>
    <n v="6"/>
    <x v="0"/>
    <x v="0"/>
    <s v="Program Manager"/>
    <s v="Bitrix, RFC aptiv, Alinhamento com Thiago, Alinhamento com Fábio - BPO"/>
    <n v="99.83"/>
    <x v="1"/>
    <n v="660"/>
    <s v="Vockan Consulting Ltda"/>
    <x v="2"/>
  </r>
  <r>
    <x v="5"/>
    <d v="2024-07-11T00:00:00"/>
    <d v="2024-08-01T00:00:00"/>
    <s v="NB01"/>
    <n v="2024"/>
    <n v="7"/>
    <n v="11"/>
    <n v="28"/>
    <n v="8"/>
    <x v="0"/>
    <x v="0"/>
    <s v="Program Manager"/>
    <s v="Alinhamento SMRC, Vockan QAD Cloud Support, arquitetura cloud com Skyone, reunião com Valmont"/>
    <n v="99.83"/>
    <x v="1"/>
    <n v="880"/>
    <s v="Vockan Consulting Ltda"/>
    <x v="2"/>
  </r>
  <r>
    <x v="5"/>
    <d v="2024-07-10T00:00:00"/>
    <d v="2024-08-01T00:00:00"/>
    <s v="NB01"/>
    <n v="2024"/>
    <n v="7"/>
    <n v="10"/>
    <n v="28"/>
    <n v="8"/>
    <x v="0"/>
    <x v="0"/>
    <s v="Program Manager"/>
    <s v="Reunião de Quarter, Alinhamento contratção SQUAD, revisão de repositório DEV"/>
    <n v="99.83"/>
    <x v="1"/>
    <n v="880"/>
    <s v="Vockan Consulting Ltda"/>
    <x v="2"/>
  </r>
  <r>
    <x v="5"/>
    <d v="2024-07-09T00:00:00"/>
    <d v="2024-08-01T00:00:00"/>
    <s v="NB01"/>
    <n v="2024"/>
    <n v="7"/>
    <n v="9"/>
    <n v="28"/>
    <n v="2"/>
    <x v="0"/>
    <x v="0"/>
    <s v="Program Manager"/>
    <s v="Revisão de material para reunião de quarter"/>
    <n v="99.83"/>
    <x v="1"/>
    <n v="220"/>
    <s v="Vockan Consulting Ltda"/>
    <x v="2"/>
  </r>
  <r>
    <x v="5"/>
    <d v="2024-07-05T00:00:00"/>
    <d v="2024-08-01T00:00:00"/>
    <s v="NB01"/>
    <n v="2024"/>
    <n v="7"/>
    <n v="5"/>
    <n v="27"/>
    <n v="8"/>
    <x v="0"/>
    <x v="0"/>
    <s v="Program Manager"/>
    <s v="Reunião gerencial e preparação de material, Alinhamento de nova arquitetura cloud com Skyone, Scrum, Alinhamento DEV"/>
    <n v="99.83"/>
    <x v="1"/>
    <n v="880"/>
    <s v="Vockan Consulting Ltda"/>
    <x v="2"/>
  </r>
  <r>
    <x v="5"/>
    <d v="2024-07-04T00:00:00"/>
    <d v="2024-08-01T00:00:00"/>
    <s v="NB01"/>
    <n v="2024"/>
    <n v="7"/>
    <n v="4"/>
    <n v="27"/>
    <n v="4"/>
    <x v="0"/>
    <x v="0"/>
    <s v="Program Manager"/>
    <s v="Alinhamento com High Business, Scrum, Alinhamento TEC"/>
    <n v="99.83"/>
    <x v="1"/>
    <n v="440"/>
    <s v="Vockan Consulting Ltda"/>
    <x v="2"/>
  </r>
  <r>
    <x v="5"/>
    <d v="2024-07-03T00:00:00"/>
    <d v="2024-08-01T00:00:00"/>
    <s v="NB01"/>
    <n v="2024"/>
    <n v="7"/>
    <n v="3"/>
    <n v="27"/>
    <n v="5"/>
    <x v="0"/>
    <x v="0"/>
    <s v="Program Manager"/>
    <s v="1:1 André, Reunião Zeis, Planejamento Sprint 10, Candidato squad - Alinhamento com Fabricio e Sildemar"/>
    <n v="99.83"/>
    <x v="1"/>
    <n v="550"/>
    <s v="Vockan Consulting Ltda"/>
    <x v="2"/>
  </r>
  <r>
    <x v="5"/>
    <d v="2024-07-02T00:00:00"/>
    <d v="2024-08-01T00:00:00"/>
    <s v="NB01"/>
    <n v="2024"/>
    <n v="7"/>
    <n v="2"/>
    <n v="27"/>
    <n v="6"/>
    <x v="0"/>
    <x v="0"/>
    <s v="Program Manager"/>
    <s v="Fechamento sprint 9, proposta Clarios, Alinhamento com Koga sobre Optidata, 1:1 BPO"/>
    <n v="99.83"/>
    <x v="1"/>
    <n v="660"/>
    <s v="Vockan Consulting Ltda"/>
    <x v="2"/>
  </r>
  <r>
    <x v="5"/>
    <d v="2024-07-01T00:00:00"/>
    <d v="2024-08-01T00:00:00"/>
    <s v="NB01"/>
    <n v="2024"/>
    <n v="7"/>
    <n v="1"/>
    <n v="27"/>
    <n v="8"/>
    <x v="0"/>
    <x v="0"/>
    <s v="Program Manager"/>
    <s v="Alinhamento SMRC, reunião suporte cloud QAD, scrum dev"/>
    <n v="99.83"/>
    <x v="1"/>
    <n v="880"/>
    <s v="Vockan Consulting Ltda"/>
    <x v="2"/>
  </r>
  <r>
    <x v="6"/>
    <d v="2024-07-30T00:00:00"/>
    <d v="2024-08-01T00:00:00"/>
    <s v="SOW"/>
    <n v="2024"/>
    <n v="7"/>
    <n v="30"/>
    <n v="31"/>
    <n v="2"/>
    <x v="0"/>
    <x v="0"/>
    <s v="Project Manager"/>
    <s v="Roleplay fase dois do roteiro, discovery"/>
    <n v="99.83"/>
    <x v="1"/>
    <n v="220"/>
    <s v="Vockan Consulting Ltda"/>
    <x v="2"/>
  </r>
  <r>
    <x v="6"/>
    <d v="2024-07-25T00:00:00"/>
    <d v="2024-08-01T00:00:00"/>
    <s v="SOW"/>
    <n v="2024"/>
    <n v="7"/>
    <n v="25"/>
    <n v="30"/>
    <n v="2"/>
    <x v="0"/>
    <x v="0"/>
    <s v="Project Manager"/>
    <s v="Dinamica com Exchange, preparação de material"/>
    <n v="99.83"/>
    <x v="1"/>
    <n v="220"/>
    <s v="Vockan Consulting Ltda"/>
    <x v="2"/>
  </r>
  <r>
    <x v="6"/>
    <d v="2024-07-18T00:00:00"/>
    <d v="2024-08-01T00:00:00"/>
    <s v="SOW"/>
    <n v="2024"/>
    <n v="7"/>
    <n v="18"/>
    <n v="29"/>
    <n v="4"/>
    <x v="0"/>
    <x v="0"/>
    <s v="Project Manager"/>
    <s v="Roteiro comercial Exchange - Agilista"/>
    <n v="99.83"/>
    <x v="1"/>
    <n v="440"/>
    <s v="Vockan Consulting Ltda"/>
    <x v="2"/>
  </r>
  <r>
    <x v="6"/>
    <d v="2024-07-08T00:00:00"/>
    <d v="2024-08-01T00:00:00"/>
    <s v="SOW"/>
    <n v="2024"/>
    <n v="7"/>
    <n v="8"/>
    <n v="28"/>
    <n v="2"/>
    <x v="0"/>
    <x v="0"/>
    <s v="Project Manager"/>
    <s v="Revisão do Artigo - Agilista"/>
    <n v="99.83"/>
    <x v="1"/>
    <n v="220"/>
    <s v="Vockan Consulting Ltda"/>
    <x v="2"/>
  </r>
  <r>
    <x v="6"/>
    <d v="2024-07-04T00:00:00"/>
    <d v="2024-08-01T00:00:00"/>
    <s v="SOW"/>
    <n v="2024"/>
    <n v="7"/>
    <n v="4"/>
    <n v="27"/>
    <n v="2"/>
    <x v="0"/>
    <x v="0"/>
    <s v="Project Manager"/>
    <s v="Reunião sobre playbook agilista e preparação de material"/>
    <n v="99.83"/>
    <x v="1"/>
    <n v="220"/>
    <s v="Vockan Consulting Ltda"/>
    <x v="2"/>
  </r>
  <r>
    <x v="7"/>
    <d v="2024-07-25T00:00:00"/>
    <d v="2024-08-01T00:00:00"/>
    <s v="SOW"/>
    <n v="2024"/>
    <n v="7"/>
    <n v="25"/>
    <n v="30"/>
    <n v="2"/>
    <x v="0"/>
    <x v="0"/>
    <s v="Project Manager"/>
    <s v="Preparação de material BPO comercial"/>
    <n v="99.83"/>
    <x v="1"/>
    <n v="220"/>
    <s v="Vockan Consulting Ltda"/>
    <x v="2"/>
  </r>
  <r>
    <x v="7"/>
    <d v="2024-07-08T00:00:00"/>
    <d v="2024-08-01T00:00:00"/>
    <s v="SOW"/>
    <n v="2024"/>
    <n v="7"/>
    <n v="8"/>
    <n v="28"/>
    <n v="2"/>
    <x v="0"/>
    <x v="0"/>
    <s v="Project Manager"/>
    <s v="Revisão de Material comercial - PPTs"/>
    <n v="99.83"/>
    <x v="1"/>
    <n v="220"/>
    <s v="Vockan Consulting Ltda"/>
    <x v="2"/>
  </r>
  <r>
    <x v="8"/>
    <d v="2024-07-09T00:00:00"/>
    <d v="2024-08-01T00:00:00"/>
    <s v="SOW"/>
    <n v="2024"/>
    <n v="7"/>
    <n v="9"/>
    <n v="28"/>
    <n v="6"/>
    <x v="0"/>
    <x v="0"/>
    <s v="Project Manager"/>
    <s v="Definição de hierarquia de ofertas de DEV e TEC"/>
    <n v="157"/>
    <x v="0"/>
    <n v="1038.0165289256199"/>
    <s v="Vockan Consulting Ltda"/>
    <x v="2"/>
  </r>
  <r>
    <x v="8"/>
    <d v="2024-07-08T00:00:00"/>
    <d v="2024-08-01T00:00:00"/>
    <s v="SOW"/>
    <n v="2024"/>
    <n v="7"/>
    <n v="8"/>
    <n v="28"/>
    <n v="4"/>
    <x v="0"/>
    <x v="0"/>
    <s v="Project Manager"/>
    <s v="Compilação de lista de ofertas DEV"/>
    <n v="157"/>
    <x v="0"/>
    <n v="692.01101928374658"/>
    <s v="Vockan Consulting Ltda"/>
    <x v="2"/>
  </r>
  <r>
    <x v="9"/>
    <d v="2024-07-17T00:00:00"/>
    <d v="2024-08-01T00:00:00"/>
    <s v="SOW"/>
    <n v="2024"/>
    <n v="7"/>
    <n v="17"/>
    <n v="29"/>
    <n v="2"/>
    <x v="0"/>
    <x v="0"/>
    <s v="Program Manager"/>
    <s v="Planejamento de Sprint 11"/>
    <n v="86.43"/>
    <x v="2"/>
    <n v="190.47933884297524"/>
    <s v="Vockan Consulting Ltda"/>
    <x v="2"/>
  </r>
  <r>
    <x v="9"/>
    <d v="2024-07-16T00:00:00"/>
    <d v="2024-08-01T00:00:00"/>
    <s v="SOW"/>
    <n v="2024"/>
    <n v="7"/>
    <n v="16"/>
    <n v="29"/>
    <n v="2"/>
    <x v="0"/>
    <x v="0"/>
    <s v="Program Manager"/>
    <s v="Fechamento sprint 10"/>
    <n v="86.43"/>
    <x v="2"/>
    <n v="190.47933884297524"/>
    <s v="Vockan Consulting Ltda"/>
    <x v="2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FA667-7F73-437E-9950-7B1D0CB80459}" name="Tabela dinâmica2" cacheId="16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18" firstHeaderRow="0" firstDataRow="1" firstDataCol="5"/>
  <pivotFields count="18">
    <pivotField axis="axisRow" outline="0" showAll="0" defaultSubtotal="0">
      <items count="57">
        <item m="1" x="33"/>
        <item m="1" x="20"/>
        <item x="3"/>
        <item m="1" x="30"/>
        <item m="1" x="22"/>
        <item m="1" x="11"/>
        <item m="1" x="18"/>
        <item m="1" x="24"/>
        <item m="1" x="12"/>
        <item m="1" x="26"/>
        <item m="1" x="21"/>
        <item m="1" x="13"/>
        <item m="1" x="19"/>
        <item m="1" x="38"/>
        <item m="1" x="55"/>
        <item m="1" x="56"/>
        <item m="1" x="36"/>
        <item m="1" x="25"/>
        <item m="1" x="16"/>
        <item x="4"/>
        <item x="0"/>
        <item m="1" x="35"/>
        <item m="1" x="23"/>
        <item m="1" x="17"/>
        <item m="1" x="31"/>
        <item x="2"/>
        <item m="1" x="29"/>
        <item m="1" x="37"/>
        <item m="1" x="27"/>
        <item m="1" x="14"/>
        <item m="1" x="32"/>
        <item m="1" x="39"/>
        <item x="1"/>
        <item m="1" x="34"/>
        <item m="1" x="28"/>
        <item m="1" x="40"/>
        <item x="5"/>
        <item m="1" x="41"/>
        <item m="1" x="42"/>
        <item x="6"/>
        <item x="7"/>
        <item x="8"/>
        <item m="1" x="43"/>
        <item m="1" x="44"/>
        <item m="1" x="45"/>
        <item m="1" x="46"/>
        <item m="1" x="47"/>
        <item x="9"/>
        <item m="1" x="48"/>
        <item m="1" x="15"/>
        <item m="1" x="49"/>
        <item m="1" x="50"/>
        <item m="1" x="51"/>
        <item m="1" x="52"/>
        <item m="1" x="53"/>
        <item m="1" x="54"/>
        <item x="10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outline="0" showAll="0">
      <items count="28">
        <item m="1" x="26"/>
        <item m="1" x="4"/>
        <item m="1" x="7"/>
        <item m="1" x="11"/>
        <item m="1" x="5"/>
        <item m="1" x="14"/>
        <item m="1" x="21"/>
        <item h="1" m="1" x="20"/>
        <item m="1" x="8"/>
        <item m="1" x="2"/>
        <item m="1" x="12"/>
        <item m="1" x="16"/>
        <item m="1" x="18"/>
        <item m="1" x="13"/>
        <item m="1" x="17"/>
        <item m="1" x="22"/>
        <item m="1" x="23"/>
        <item m="1" x="15"/>
        <item m="1" x="24"/>
        <item m="1" x="3"/>
        <item m="1" x="9"/>
        <item x="0"/>
        <item m="1" x="6"/>
        <item h="1" m="1" x="19"/>
        <item m="1" x="10"/>
        <item m="1" x="25"/>
        <item h="1" x="1"/>
        <item t="default"/>
      </items>
    </pivotField>
    <pivotField axis="axisRow" outline="0" showAll="0" defaultSubtotal="0">
      <items count="47">
        <item m="1" x="22"/>
        <item m="1" x="46"/>
        <item m="1" x="11"/>
        <item m="1" x="9"/>
        <item m="1" x="26"/>
        <item m="1" x="42"/>
        <item m="1" x="36"/>
        <item m="1" x="5"/>
        <item m="1" x="35"/>
        <item m="1" x="17"/>
        <item m="1" x="25"/>
        <item m="1" x="18"/>
        <item m="1" x="6"/>
        <item m="1" x="2"/>
        <item m="1" x="15"/>
        <item m="1" x="4"/>
        <item m="1" x="44"/>
        <item m="1" x="39"/>
        <item m="1" x="7"/>
        <item m="1" x="33"/>
        <item m="1" x="20"/>
        <item m="1" x="28"/>
        <item m="1" x="45"/>
        <item m="1" x="12"/>
        <item m="1" x="29"/>
        <item m="1" x="3"/>
        <item m="1" x="8"/>
        <item m="1" x="38"/>
        <item m="1" x="19"/>
        <item m="1" x="24"/>
        <item m="1" x="41"/>
        <item m="1" x="21"/>
        <item m="1" x="23"/>
        <item m="1" x="40"/>
        <item x="0"/>
        <item m="1" x="31"/>
        <item m="1" x="16"/>
        <item m="1" x="14"/>
        <item m="1" x="43"/>
        <item m="1" x="13"/>
        <item m="1" x="10"/>
        <item m="1" x="37"/>
        <item m="1" x="34"/>
        <item m="1" x="27"/>
        <item m="1" x="32"/>
        <item m="1" x="30"/>
        <item x="1"/>
      </items>
    </pivotField>
    <pivotField showAll="0"/>
    <pivotField showAll="0"/>
    <pivotField showAll="0"/>
    <pivotField axis="axisRow" outline="0" showAll="0" defaultSubtotal="0">
      <items count="41">
        <item m="1" x="30"/>
        <item m="1" x="31"/>
        <item m="1" x="13"/>
        <item m="1" x="26"/>
        <item m="1" x="25"/>
        <item m="1" x="33"/>
        <item m="1" x="34"/>
        <item m="1" x="6"/>
        <item m="1" x="21"/>
        <item m="1" x="37"/>
        <item x="2"/>
        <item m="1" x="27"/>
        <item x="1"/>
        <item m="1" x="19"/>
        <item m="1" x="20"/>
        <item m="1" x="8"/>
        <item m="1" x="38"/>
        <item m="1" x="17"/>
        <item m="1" x="7"/>
        <item m="1" x="18"/>
        <item m="1" x="12"/>
        <item m="1" x="4"/>
        <item m="1" x="23"/>
        <item m="1" x="32"/>
        <item m="1" x="22"/>
        <item m="1" x="15"/>
        <item m="1" x="9"/>
        <item m="1" x="29"/>
        <item m="1" x="5"/>
        <item x="0"/>
        <item m="1" x="36"/>
        <item m="1" x="14"/>
        <item m="1" x="28"/>
        <item m="1" x="11"/>
        <item m="1" x="24"/>
        <item m="1" x="35"/>
        <item m="1" x="16"/>
        <item m="1" x="10"/>
        <item m="1" x="39"/>
        <item m="1" x="40"/>
        <item x="3"/>
      </items>
    </pivotField>
    <pivotField dataField="1" showAll="0"/>
    <pivotField showAll="0"/>
    <pivotField axis="axisRow" outline="0" showAll="0">
      <items count="5">
        <item x="0"/>
        <item x="1"/>
        <item x="2"/>
        <item h="1" x="3"/>
        <item t="default"/>
      </items>
    </pivotField>
  </pivotFields>
  <rowFields count="5">
    <field x="9"/>
    <field x="17"/>
    <field x="10"/>
    <field x="0"/>
    <field x="14"/>
  </rowFields>
  <rowItems count="15">
    <i>
      <x v="21"/>
      <x/>
      <x v="34"/>
      <x v="2"/>
      <x v="29"/>
    </i>
    <i r="3">
      <x v="19"/>
      <x v="29"/>
    </i>
    <i r="3">
      <x v="20"/>
      <x v="29"/>
    </i>
    <i r="3">
      <x v="32"/>
      <x v="29"/>
    </i>
    <i t="default" r="1">
      <x/>
    </i>
    <i r="1">
      <x v="1"/>
      <x v="34"/>
      <x v="25"/>
      <x v="29"/>
    </i>
    <i t="default" r="1">
      <x v="1"/>
    </i>
    <i r="1">
      <x v="2"/>
      <x v="34"/>
      <x v="36"/>
      <x v="12"/>
    </i>
    <i r="3">
      <x v="39"/>
      <x v="12"/>
    </i>
    <i r="3">
      <x v="40"/>
      <x v="12"/>
    </i>
    <i r="3">
      <x v="41"/>
      <x v="29"/>
    </i>
    <i r="3">
      <x v="47"/>
      <x v="10"/>
    </i>
    <i t="default" r="1">
      <x v="2"/>
    </i>
    <i t="default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ime Actual" fld="8" baseField="14" baseItem="26" numFmtId="164"/>
    <dataField name="Soma de Total Cost" fld="15" baseField="14" baseItem="26" numFmtId="165"/>
  </dataFields>
  <formats count="5">
    <format dxfId="5">
      <pivotArea dataOnly="0" labelOnly="1" outline="0" fieldPosition="0">
        <references count="1">
          <reference field="14" count="0"/>
        </references>
      </pivotArea>
    </format>
    <format dxfId="6">
      <pivotArea dataOnly="0" outline="0" fieldPosition="0">
        <references count="1">
          <reference field="9" count="0" defaultSubtotal="1"/>
        </references>
      </pivotArea>
    </format>
    <format dxfId="7">
      <pivotArea dataOnly="0" outline="0" fieldPosition="0">
        <references count="1">
          <reference field="17" count="0" defaultSubtotal="1"/>
        </references>
      </pivotArea>
    </format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F3066AB-56F8-4CE4-B23C-94077B4EE772}" autoFormatId="16" applyNumberFormats="0" applyBorderFormats="0" applyFontFormats="0" applyPatternFormats="0" applyAlignmentFormats="0" applyWidthHeightFormats="0">
  <queryTableRefresh nextId="25">
    <queryTableFields count="18">
      <queryTableField id="1" name="FunnelID" tableColumnId="1"/>
      <queryTableField id="2" name="Work Date" tableColumnId="2"/>
      <queryTableField id="3" name="Date TimeSheet" tableColumnId="3"/>
      <queryTableField id="4" name="CCID" tableColumnId="4"/>
      <queryTableField id="5" name="Year" tableColumnId="5"/>
      <queryTableField id="6" name="Month" tableColumnId="6"/>
      <queryTableField id="7" name="Day" tableColumnId="7"/>
      <queryTableField id="8" name="Week" tableColumnId="8"/>
      <queryTableField id="9" name="Time Actual" tableColumnId="9"/>
      <queryTableField id="10" name="Company" tableColumnId="10"/>
      <queryTableField id="11" name="Resource Name" tableColumnId="11"/>
      <queryTableField id="12" name="Role" tableColumnId="12"/>
      <queryTableField id="13" name="Comments" tableColumnId="13"/>
      <queryTableField id="14" name="CostRate" tableColumnId="14"/>
      <queryTableField id="22" dataBound="0" tableColumnId="22"/>
      <queryTableField id="21" dataBound="0" tableColumnId="21"/>
      <queryTableField id="16" name="Customer Name" tableColumnId="16"/>
      <queryTableField id="17" name="Invoiced Date" tableColumnId="17"/>
    </queryTableFields>
    <queryTableDeletedFields count="2">
      <deletedField name="Invoice Number"/>
      <deletedField name="Billing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180A90-76C5-40EE-9053-A328600B8D1F}" name="ApprovedTimeReport_002_202476" displayName="ApprovedTimeReport_002_202476" ref="A1:R48" tableType="queryTable" totalsRowCount="1">
  <autoFilter ref="A1:R47" xr:uid="{62180A90-76C5-40EE-9053-A328600B8D1F}"/>
  <sortState xmlns:xlrd2="http://schemas.microsoft.com/office/spreadsheetml/2017/richdata2" ref="A2:R47">
    <sortCondition ref="Q2:Q47"/>
    <sortCondition ref="A2:A47"/>
  </sortState>
  <tableColumns count="18">
    <tableColumn id="1" xr3:uid="{2988819C-FE4C-40DA-9138-984AA82F6843}" uniqueName="1" name="FunnelID" queryTableFieldId="1" dataDxfId="29" totalsRowDxfId="28"/>
    <tableColumn id="2" xr3:uid="{898490E0-ADC6-4E85-87E3-8E8F1BE345E4}" uniqueName="2" name="Work Date" queryTableFieldId="2" dataDxfId="27" totalsRowDxfId="26"/>
    <tableColumn id="3" xr3:uid="{02BC1CB4-AFC5-40AF-9C6F-7DCDF0F83CDC}" uniqueName="3" name="Date TimeSheet" queryTableFieldId="3" dataDxfId="25" totalsRowDxfId="24"/>
    <tableColumn id="4" xr3:uid="{78681987-507D-436E-975E-993BB5D137C9}" uniqueName="4" name="CCID" queryTableFieldId="4" dataDxfId="23" totalsRowDxfId="22"/>
    <tableColumn id="5" xr3:uid="{B62E36F9-9F9A-4A92-8F89-A370012D83DD}" uniqueName="5" name="Year" queryTableFieldId="5"/>
    <tableColumn id="6" xr3:uid="{BF8D4D3E-A9B9-4418-8666-1EBBAC0AC462}" uniqueName="6" name="Month" queryTableFieldId="6"/>
    <tableColumn id="7" xr3:uid="{60AF25F2-BC45-4ACC-ACE9-227722F34872}" uniqueName="7" name="Day" queryTableFieldId="7"/>
    <tableColumn id="8" xr3:uid="{F46C3172-B676-4CD1-AFA3-B0F40AA5F7FA}" uniqueName="8" name="Week" queryTableFieldId="8"/>
    <tableColumn id="9" xr3:uid="{240AFA2C-0E98-4B9F-BE75-46D85712A7A5}" uniqueName="9" name="Time Actual" queryTableFieldId="9" dataCellStyle="Vírgula"/>
    <tableColumn id="10" xr3:uid="{5F2D7663-574E-4E10-B83D-6EB2C275B5B8}" uniqueName="10" name="Company" queryTableFieldId="10" dataDxfId="21" totalsRowDxfId="20"/>
    <tableColumn id="11" xr3:uid="{D41E5567-F66B-46A5-8D9B-760C9271548D}" uniqueName="11" name="Resource Name" queryTableFieldId="11" dataDxfId="19" totalsRowDxfId="18"/>
    <tableColumn id="12" xr3:uid="{C64B7BCE-A9B2-434F-93EC-F338ED76AFA8}" uniqueName="12" name="Role" queryTableFieldId="12" dataDxfId="17" totalsRowDxfId="16"/>
    <tableColumn id="13" xr3:uid="{938EE6F8-BE76-480B-A1EB-D5FC43EF013A}" uniqueName="13" name="Comments" queryTableFieldId="13" dataDxfId="15" totalsRowDxfId="14"/>
    <tableColumn id="14" xr3:uid="{E130C3B7-05D9-472F-85B2-3D1C151DC004}" uniqueName="14" name="CostRate" queryTableFieldId="14" dataCellStyle="Vírgula"/>
    <tableColumn id="22" xr3:uid="{2A0DB213-BD6D-4821-92D7-83C158500CA2}" uniqueName="22" name="CostRate (w/ Taxes)" queryTableFieldId="22" dataCellStyle="Vírgula">
      <calculatedColumnFormula>ApprovedTimeReport_002_202476[[#This Row],[CostRate]]/0.9075</calculatedColumnFormula>
    </tableColumn>
    <tableColumn id="21" xr3:uid="{422FF164-20D9-420B-A288-5BDC8C369628}" uniqueName="21" name="Total Cost" queryTableFieldId="21" dataCellStyle="Vírgula">
      <calculatedColumnFormula>ApprovedTimeReport_002_202476[[#This Row],[CostRate (w/ Taxes)]]*ApprovedTimeReport_002_202476[[#This Row],[Time Actual]]</calculatedColumnFormula>
    </tableColumn>
    <tableColumn id="16" xr3:uid="{17C7EFCE-56B1-489B-B3F7-3D6BF460C217}" uniqueName="16" name="Customer Name" queryTableFieldId="16" dataDxfId="13" totalsRowDxfId="12"/>
    <tableColumn id="17" xr3:uid="{17033287-5D1A-4D0E-B7DE-AD777CDB8F1A}" uniqueName="17" name="Project Type" queryTableFieldId="17" dataDxfId="11" totalsRow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2F71-0BA4-4708-BBC2-62010B0F096D}">
  <dimension ref="A3:H294"/>
  <sheetViews>
    <sheetView tabSelected="1" zoomScale="80" zoomScaleNormal="80" workbookViewId="0">
      <selection activeCell="H16" sqref="G16:H16"/>
    </sheetView>
  </sheetViews>
  <sheetFormatPr defaultRowHeight="15.05" x14ac:dyDescent="0.3"/>
  <cols>
    <col min="1" max="1" width="16.77734375" bestFit="1" customWidth="1"/>
    <col min="2" max="2" width="13.44140625" bestFit="1" customWidth="1"/>
    <col min="3" max="3" width="16.33203125" bestFit="1" customWidth="1"/>
    <col min="4" max="4" width="23.5546875" bestFit="1" customWidth="1"/>
    <col min="5" max="5" width="19.5546875" style="3" bestFit="1" customWidth="1"/>
    <col min="6" max="6" width="18.5546875" bestFit="1" customWidth="1"/>
    <col min="7" max="7" width="16.88671875" style="7" bestFit="1" customWidth="1"/>
  </cols>
  <sheetData>
    <row r="3" spans="1:8" x14ac:dyDescent="0.3">
      <c r="A3" s="5" t="s">
        <v>167</v>
      </c>
      <c r="B3" s="5" t="s">
        <v>133</v>
      </c>
      <c r="C3" s="5" t="s">
        <v>10</v>
      </c>
      <c r="D3" s="5" t="s">
        <v>0</v>
      </c>
      <c r="E3" s="5" t="s">
        <v>131</v>
      </c>
      <c r="F3" t="s">
        <v>169</v>
      </c>
      <c r="G3" s="7" t="s">
        <v>170</v>
      </c>
    </row>
    <row r="4" spans="1:8" x14ac:dyDescent="0.3">
      <c r="A4" t="s">
        <v>34</v>
      </c>
      <c r="B4" t="s">
        <v>134</v>
      </c>
      <c r="C4" t="s">
        <v>35</v>
      </c>
      <c r="D4" t="s">
        <v>47</v>
      </c>
      <c r="E4" s="4">
        <v>173.00275482093664</v>
      </c>
      <c r="F4" s="6">
        <v>2</v>
      </c>
      <c r="G4" s="7">
        <v>346.00550964187329</v>
      </c>
    </row>
    <row r="5" spans="1:8" x14ac:dyDescent="0.3">
      <c r="D5" t="s">
        <v>18</v>
      </c>
      <c r="E5" s="4">
        <v>173.00275482093664</v>
      </c>
      <c r="F5" s="6">
        <v>2</v>
      </c>
      <c r="G5" s="7">
        <v>346.00550964187329</v>
      </c>
    </row>
    <row r="6" spans="1:8" x14ac:dyDescent="0.3">
      <c r="D6" t="s">
        <v>23</v>
      </c>
      <c r="E6" s="4">
        <v>173.00275482093664</v>
      </c>
      <c r="F6" s="6">
        <v>5</v>
      </c>
      <c r="G6" s="7">
        <v>865.01377410468319</v>
      </c>
    </row>
    <row r="7" spans="1:8" x14ac:dyDescent="0.3">
      <c r="D7" t="s">
        <v>15</v>
      </c>
      <c r="E7" s="4">
        <v>173.00275482093664</v>
      </c>
      <c r="F7" s="6">
        <v>6</v>
      </c>
      <c r="G7" s="7">
        <v>1038.0165289256199</v>
      </c>
    </row>
    <row r="8" spans="1:8" x14ac:dyDescent="0.3">
      <c r="B8" s="11" t="s">
        <v>173</v>
      </c>
      <c r="C8" s="11"/>
      <c r="D8" s="11"/>
      <c r="E8" s="11"/>
      <c r="F8" s="12">
        <v>15</v>
      </c>
      <c r="G8" s="13">
        <v>2595.0413223140495</v>
      </c>
      <c r="H8" t="s">
        <v>175</v>
      </c>
    </row>
    <row r="9" spans="1:8" x14ac:dyDescent="0.3">
      <c r="B9" t="s">
        <v>139</v>
      </c>
      <c r="C9" t="s">
        <v>35</v>
      </c>
      <c r="D9" t="s">
        <v>63</v>
      </c>
      <c r="E9" s="4">
        <v>173.00275482093664</v>
      </c>
      <c r="F9" s="6">
        <v>1</v>
      </c>
      <c r="G9" s="7">
        <v>173.00275482093664</v>
      </c>
    </row>
    <row r="10" spans="1:8" x14ac:dyDescent="0.3">
      <c r="B10" s="11" t="s">
        <v>174</v>
      </c>
      <c r="C10" s="11"/>
      <c r="D10" s="11"/>
      <c r="E10" s="11"/>
      <c r="F10" s="12">
        <v>1</v>
      </c>
      <c r="G10" s="13">
        <v>173.00275482093664</v>
      </c>
      <c r="H10" t="s">
        <v>177</v>
      </c>
    </row>
    <row r="11" spans="1:8" x14ac:dyDescent="0.3">
      <c r="B11" t="s">
        <v>137</v>
      </c>
      <c r="C11" t="s">
        <v>35</v>
      </c>
      <c r="D11" t="s">
        <v>26</v>
      </c>
      <c r="E11" s="4">
        <v>110</v>
      </c>
      <c r="F11" s="6">
        <v>134</v>
      </c>
      <c r="G11" s="7">
        <v>14740</v>
      </c>
    </row>
    <row r="12" spans="1:8" x14ac:dyDescent="0.3">
      <c r="D12" t="s">
        <v>59</v>
      </c>
      <c r="E12" s="4">
        <v>110</v>
      </c>
      <c r="F12" s="6">
        <v>12</v>
      </c>
      <c r="G12" s="7">
        <v>1320</v>
      </c>
    </row>
    <row r="13" spans="1:8" x14ac:dyDescent="0.3">
      <c r="D13" t="s">
        <v>55</v>
      </c>
      <c r="E13" s="4">
        <v>110</v>
      </c>
      <c r="F13" s="6">
        <v>4</v>
      </c>
      <c r="G13" s="7">
        <v>440</v>
      </c>
    </row>
    <row r="14" spans="1:8" x14ac:dyDescent="0.3">
      <c r="D14" t="s">
        <v>112</v>
      </c>
      <c r="E14" s="4">
        <v>173.00275482093664</v>
      </c>
      <c r="F14" s="6">
        <v>10</v>
      </c>
      <c r="G14" s="7">
        <v>1730.0275482093666</v>
      </c>
    </row>
    <row r="15" spans="1:8" x14ac:dyDescent="0.3">
      <c r="D15" t="s">
        <v>31</v>
      </c>
      <c r="E15" s="4">
        <v>95.239669421487619</v>
      </c>
      <c r="F15" s="6">
        <v>4</v>
      </c>
      <c r="G15" s="7">
        <v>380.95867768595048</v>
      </c>
    </row>
    <row r="16" spans="1:8" x14ac:dyDescent="0.3">
      <c r="B16" s="11" t="s">
        <v>172</v>
      </c>
      <c r="C16" s="11"/>
      <c r="D16" s="11"/>
      <c r="E16" s="11"/>
      <c r="F16" s="12">
        <v>164</v>
      </c>
      <c r="G16" s="13">
        <v>18610.986225895318</v>
      </c>
      <c r="H16" t="s">
        <v>176</v>
      </c>
    </row>
    <row r="17" spans="1:7" x14ac:dyDescent="0.3">
      <c r="A17" s="8" t="s">
        <v>171</v>
      </c>
      <c r="B17" s="8"/>
      <c r="C17" s="8"/>
      <c r="D17" s="8"/>
      <c r="E17" s="8"/>
      <c r="F17" s="9">
        <v>180</v>
      </c>
      <c r="G17" s="10">
        <v>21379.030303030304</v>
      </c>
    </row>
    <row r="18" spans="1:7" x14ac:dyDescent="0.3">
      <c r="A18" t="s">
        <v>168</v>
      </c>
      <c r="E18"/>
      <c r="F18" s="6">
        <v>180</v>
      </c>
      <c r="G18" s="7">
        <v>21379.030303030304</v>
      </c>
    </row>
    <row r="19" spans="1:7" x14ac:dyDescent="0.3">
      <c r="E19"/>
      <c r="G19"/>
    </row>
    <row r="20" spans="1:7" x14ac:dyDescent="0.3">
      <c r="E20"/>
      <c r="G20"/>
    </row>
    <row r="21" spans="1:7" x14ac:dyDescent="0.3">
      <c r="E21"/>
      <c r="G21"/>
    </row>
    <row r="22" spans="1:7" x14ac:dyDescent="0.3">
      <c r="E22"/>
      <c r="G22"/>
    </row>
    <row r="23" spans="1:7" x14ac:dyDescent="0.3">
      <c r="E23"/>
      <c r="G23"/>
    </row>
    <row r="24" spans="1:7" x14ac:dyDescent="0.3">
      <c r="E24"/>
      <c r="G24"/>
    </row>
    <row r="25" spans="1:7" x14ac:dyDescent="0.3">
      <c r="E25"/>
      <c r="G25"/>
    </row>
    <row r="26" spans="1:7" x14ac:dyDescent="0.3">
      <c r="E26"/>
      <c r="G26"/>
    </row>
    <row r="27" spans="1:7" x14ac:dyDescent="0.3">
      <c r="E27"/>
      <c r="G27"/>
    </row>
    <row r="28" spans="1:7" x14ac:dyDescent="0.3">
      <c r="E28"/>
      <c r="G28"/>
    </row>
    <row r="29" spans="1:7" x14ac:dyDescent="0.3">
      <c r="E29"/>
      <c r="G29"/>
    </row>
    <row r="30" spans="1:7" x14ac:dyDescent="0.3">
      <c r="E30"/>
      <c r="G30"/>
    </row>
    <row r="31" spans="1:7" x14ac:dyDescent="0.3">
      <c r="E31"/>
      <c r="G31"/>
    </row>
    <row r="32" spans="1:7" x14ac:dyDescent="0.3">
      <c r="E32"/>
      <c r="G32"/>
    </row>
    <row r="33" spans="5:7" x14ac:dyDescent="0.3">
      <c r="E33"/>
      <c r="G33"/>
    </row>
    <row r="34" spans="5:7" x14ac:dyDescent="0.3">
      <c r="E34"/>
      <c r="G34"/>
    </row>
    <row r="35" spans="5:7" x14ac:dyDescent="0.3">
      <c r="E35"/>
      <c r="G35"/>
    </row>
    <row r="36" spans="5:7" x14ac:dyDescent="0.3">
      <c r="E36"/>
      <c r="G36"/>
    </row>
    <row r="37" spans="5:7" x14ac:dyDescent="0.3">
      <c r="E37"/>
      <c r="G37"/>
    </row>
    <row r="38" spans="5:7" x14ac:dyDescent="0.3">
      <c r="E38"/>
      <c r="G38"/>
    </row>
    <row r="39" spans="5:7" x14ac:dyDescent="0.3">
      <c r="E39"/>
      <c r="G39"/>
    </row>
    <row r="40" spans="5:7" x14ac:dyDescent="0.3">
      <c r="E40"/>
      <c r="G40"/>
    </row>
    <row r="41" spans="5:7" x14ac:dyDescent="0.3">
      <c r="E41"/>
      <c r="G41"/>
    </row>
    <row r="42" spans="5:7" x14ac:dyDescent="0.3">
      <c r="E42"/>
      <c r="G42"/>
    </row>
    <row r="43" spans="5:7" x14ac:dyDescent="0.3">
      <c r="E43"/>
      <c r="G43"/>
    </row>
    <row r="44" spans="5:7" x14ac:dyDescent="0.3">
      <c r="E44"/>
      <c r="G44"/>
    </row>
    <row r="45" spans="5:7" x14ac:dyDescent="0.3">
      <c r="E45"/>
      <c r="G45"/>
    </row>
    <row r="46" spans="5:7" x14ac:dyDescent="0.3">
      <c r="E46"/>
      <c r="G46"/>
    </row>
    <row r="47" spans="5:7" x14ac:dyDescent="0.3">
      <c r="E47"/>
      <c r="G47"/>
    </row>
    <row r="48" spans="5:7" x14ac:dyDescent="0.3">
      <c r="E48"/>
      <c r="G48"/>
    </row>
    <row r="49" spans="5:7" x14ac:dyDescent="0.3">
      <c r="E49"/>
      <c r="G49"/>
    </row>
    <row r="50" spans="5:7" x14ac:dyDescent="0.3">
      <c r="E50"/>
      <c r="G50"/>
    </row>
    <row r="51" spans="5:7" x14ac:dyDescent="0.3">
      <c r="E51"/>
      <c r="G51"/>
    </row>
    <row r="52" spans="5:7" x14ac:dyDescent="0.3">
      <c r="E52"/>
      <c r="G52"/>
    </row>
    <row r="53" spans="5:7" x14ac:dyDescent="0.3">
      <c r="E53"/>
      <c r="G53"/>
    </row>
    <row r="54" spans="5:7" x14ac:dyDescent="0.3">
      <c r="E54"/>
      <c r="G54"/>
    </row>
    <row r="55" spans="5:7" x14ac:dyDescent="0.3">
      <c r="E55"/>
      <c r="G55"/>
    </row>
    <row r="56" spans="5:7" x14ac:dyDescent="0.3">
      <c r="E56"/>
      <c r="G56"/>
    </row>
    <row r="57" spans="5:7" x14ac:dyDescent="0.3">
      <c r="E57"/>
      <c r="G57"/>
    </row>
    <row r="58" spans="5:7" x14ac:dyDescent="0.3">
      <c r="E58"/>
      <c r="G58"/>
    </row>
    <row r="59" spans="5:7" x14ac:dyDescent="0.3">
      <c r="E59"/>
      <c r="G59"/>
    </row>
    <row r="60" spans="5:7" x14ac:dyDescent="0.3">
      <c r="E60"/>
      <c r="G60"/>
    </row>
    <row r="61" spans="5:7" x14ac:dyDescent="0.3">
      <c r="E61"/>
      <c r="G61"/>
    </row>
    <row r="62" spans="5:7" x14ac:dyDescent="0.3">
      <c r="E62"/>
      <c r="G62"/>
    </row>
    <row r="63" spans="5:7" x14ac:dyDescent="0.3">
      <c r="E63"/>
      <c r="G63"/>
    </row>
    <row r="64" spans="5:7" x14ac:dyDescent="0.3">
      <c r="E64"/>
      <c r="G64"/>
    </row>
    <row r="65" spans="5:7" x14ac:dyDescent="0.3">
      <c r="E65"/>
      <c r="G65"/>
    </row>
    <row r="66" spans="5:7" x14ac:dyDescent="0.3">
      <c r="E66"/>
      <c r="G66"/>
    </row>
    <row r="67" spans="5:7" x14ac:dyDescent="0.3">
      <c r="E67"/>
      <c r="G67"/>
    </row>
    <row r="68" spans="5:7" x14ac:dyDescent="0.3">
      <c r="E68"/>
      <c r="G68"/>
    </row>
    <row r="69" spans="5:7" x14ac:dyDescent="0.3">
      <c r="E69"/>
      <c r="G69"/>
    </row>
    <row r="70" spans="5:7" x14ac:dyDescent="0.3">
      <c r="E70"/>
      <c r="G70"/>
    </row>
    <row r="71" spans="5:7" x14ac:dyDescent="0.3">
      <c r="E71"/>
      <c r="G71"/>
    </row>
    <row r="72" spans="5:7" x14ac:dyDescent="0.3">
      <c r="E72"/>
      <c r="G72"/>
    </row>
    <row r="73" spans="5:7" x14ac:dyDescent="0.3">
      <c r="E73"/>
      <c r="G73"/>
    </row>
    <row r="74" spans="5:7" x14ac:dyDescent="0.3">
      <c r="E74"/>
      <c r="G74"/>
    </row>
    <row r="75" spans="5:7" x14ac:dyDescent="0.3">
      <c r="E75"/>
      <c r="G75"/>
    </row>
    <row r="76" spans="5:7" x14ac:dyDescent="0.3">
      <c r="E76"/>
      <c r="G76"/>
    </row>
    <row r="77" spans="5:7" x14ac:dyDescent="0.3">
      <c r="E77"/>
      <c r="G77"/>
    </row>
    <row r="78" spans="5:7" x14ac:dyDescent="0.3">
      <c r="E78"/>
      <c r="G78"/>
    </row>
    <row r="79" spans="5:7" x14ac:dyDescent="0.3">
      <c r="E79"/>
      <c r="G79"/>
    </row>
    <row r="80" spans="5:7" x14ac:dyDescent="0.3">
      <c r="E80"/>
      <c r="G80"/>
    </row>
    <row r="81" spans="5:7" x14ac:dyDescent="0.3">
      <c r="E81"/>
      <c r="G81"/>
    </row>
    <row r="82" spans="5:7" x14ac:dyDescent="0.3">
      <c r="E82"/>
      <c r="G82"/>
    </row>
    <row r="83" spans="5:7" x14ac:dyDescent="0.3">
      <c r="E83"/>
      <c r="G83"/>
    </row>
    <row r="84" spans="5:7" x14ac:dyDescent="0.3">
      <c r="E84"/>
      <c r="G84"/>
    </row>
    <row r="85" spans="5:7" x14ac:dyDescent="0.3">
      <c r="E85"/>
      <c r="G85"/>
    </row>
    <row r="86" spans="5:7" x14ac:dyDescent="0.3">
      <c r="E86"/>
      <c r="G86"/>
    </row>
    <row r="87" spans="5:7" x14ac:dyDescent="0.3">
      <c r="E87"/>
      <c r="G87"/>
    </row>
    <row r="88" spans="5:7" x14ac:dyDescent="0.3">
      <c r="E88"/>
      <c r="G88"/>
    </row>
    <row r="89" spans="5:7" x14ac:dyDescent="0.3">
      <c r="E89"/>
      <c r="G89"/>
    </row>
    <row r="90" spans="5:7" x14ac:dyDescent="0.3">
      <c r="E90"/>
      <c r="G90"/>
    </row>
    <row r="91" spans="5:7" x14ac:dyDescent="0.3">
      <c r="E91"/>
      <c r="G91"/>
    </row>
    <row r="92" spans="5:7" x14ac:dyDescent="0.3">
      <c r="E92"/>
      <c r="G92"/>
    </row>
    <row r="93" spans="5:7" x14ac:dyDescent="0.3">
      <c r="E93"/>
      <c r="G93"/>
    </row>
    <row r="94" spans="5:7" x14ac:dyDescent="0.3">
      <c r="E94"/>
      <c r="G94"/>
    </row>
    <row r="95" spans="5:7" x14ac:dyDescent="0.3">
      <c r="E95"/>
      <c r="G95"/>
    </row>
    <row r="96" spans="5:7" x14ac:dyDescent="0.3">
      <c r="E96"/>
      <c r="G96"/>
    </row>
    <row r="97" spans="5:7" x14ac:dyDescent="0.3">
      <c r="E97"/>
      <c r="G97"/>
    </row>
    <row r="98" spans="5:7" x14ac:dyDescent="0.3">
      <c r="E98"/>
      <c r="G98"/>
    </row>
    <row r="99" spans="5:7" x14ac:dyDescent="0.3">
      <c r="E99"/>
      <c r="G99"/>
    </row>
    <row r="100" spans="5:7" x14ac:dyDescent="0.3">
      <c r="E100"/>
      <c r="G100"/>
    </row>
    <row r="101" spans="5:7" x14ac:dyDescent="0.3">
      <c r="E101"/>
      <c r="G101"/>
    </row>
    <row r="102" spans="5:7" x14ac:dyDescent="0.3">
      <c r="E102"/>
      <c r="G102"/>
    </row>
    <row r="103" spans="5:7" x14ac:dyDescent="0.3">
      <c r="E103"/>
      <c r="G103"/>
    </row>
    <row r="104" spans="5:7" x14ac:dyDescent="0.3">
      <c r="E104"/>
      <c r="G104"/>
    </row>
    <row r="105" spans="5:7" x14ac:dyDescent="0.3">
      <c r="E105"/>
      <c r="G105"/>
    </row>
    <row r="106" spans="5:7" x14ac:dyDescent="0.3">
      <c r="E106"/>
      <c r="G106"/>
    </row>
    <row r="107" spans="5:7" x14ac:dyDescent="0.3">
      <c r="E107"/>
      <c r="G107"/>
    </row>
    <row r="108" spans="5:7" x14ac:dyDescent="0.3">
      <c r="E108"/>
      <c r="G108"/>
    </row>
    <row r="109" spans="5:7" x14ac:dyDescent="0.3">
      <c r="E109"/>
      <c r="G109"/>
    </row>
    <row r="110" spans="5:7" x14ac:dyDescent="0.3">
      <c r="E110"/>
      <c r="G110"/>
    </row>
    <row r="111" spans="5:7" x14ac:dyDescent="0.3">
      <c r="E111"/>
      <c r="G111"/>
    </row>
    <row r="112" spans="5:7" x14ac:dyDescent="0.3">
      <c r="E112"/>
      <c r="G112"/>
    </row>
    <row r="113" spans="5:7" x14ac:dyDescent="0.3">
      <c r="E113"/>
      <c r="G113"/>
    </row>
    <row r="114" spans="5:7" x14ac:dyDescent="0.3">
      <c r="E114"/>
      <c r="G114"/>
    </row>
    <row r="115" spans="5:7" x14ac:dyDescent="0.3">
      <c r="E115"/>
      <c r="G115"/>
    </row>
    <row r="116" spans="5:7" x14ac:dyDescent="0.3">
      <c r="E116"/>
      <c r="G116"/>
    </row>
    <row r="117" spans="5:7" x14ac:dyDescent="0.3">
      <c r="E117"/>
      <c r="G117"/>
    </row>
    <row r="118" spans="5:7" x14ac:dyDescent="0.3">
      <c r="E118"/>
      <c r="G118"/>
    </row>
    <row r="119" spans="5:7" x14ac:dyDescent="0.3">
      <c r="E119"/>
      <c r="G119"/>
    </row>
    <row r="120" spans="5:7" x14ac:dyDescent="0.3">
      <c r="E120"/>
      <c r="G120"/>
    </row>
    <row r="121" spans="5:7" x14ac:dyDescent="0.3">
      <c r="E121"/>
      <c r="G121"/>
    </row>
    <row r="122" spans="5:7" x14ac:dyDescent="0.3">
      <c r="E122"/>
      <c r="G122"/>
    </row>
    <row r="123" spans="5:7" x14ac:dyDescent="0.3">
      <c r="E123"/>
      <c r="G123"/>
    </row>
    <row r="124" spans="5:7" x14ac:dyDescent="0.3">
      <c r="E124"/>
      <c r="G124"/>
    </row>
    <row r="125" spans="5:7" x14ac:dyDescent="0.3">
      <c r="E125"/>
      <c r="G125"/>
    </row>
    <row r="126" spans="5:7" x14ac:dyDescent="0.3">
      <c r="E126"/>
      <c r="G126"/>
    </row>
    <row r="127" spans="5:7" x14ac:dyDescent="0.3">
      <c r="E127"/>
      <c r="G127"/>
    </row>
    <row r="128" spans="5:7" x14ac:dyDescent="0.3">
      <c r="E128"/>
      <c r="G128"/>
    </row>
    <row r="129" spans="5:7" x14ac:dyDescent="0.3">
      <c r="E129"/>
      <c r="G129"/>
    </row>
    <row r="130" spans="5:7" x14ac:dyDescent="0.3">
      <c r="E130"/>
      <c r="G130"/>
    </row>
    <row r="131" spans="5:7" x14ac:dyDescent="0.3">
      <c r="E131"/>
      <c r="G131"/>
    </row>
    <row r="132" spans="5:7" x14ac:dyDescent="0.3">
      <c r="E132"/>
      <c r="G132"/>
    </row>
    <row r="133" spans="5:7" x14ac:dyDescent="0.3">
      <c r="E133"/>
      <c r="G133"/>
    </row>
    <row r="134" spans="5:7" x14ac:dyDescent="0.3">
      <c r="E134"/>
      <c r="G134"/>
    </row>
    <row r="135" spans="5:7" x14ac:dyDescent="0.3">
      <c r="E135"/>
      <c r="G135"/>
    </row>
    <row r="136" spans="5:7" x14ac:dyDescent="0.3">
      <c r="E136"/>
      <c r="G136"/>
    </row>
    <row r="137" spans="5:7" x14ac:dyDescent="0.3">
      <c r="E137"/>
      <c r="G137"/>
    </row>
    <row r="138" spans="5:7" x14ac:dyDescent="0.3">
      <c r="E138"/>
      <c r="G138"/>
    </row>
    <row r="139" spans="5:7" x14ac:dyDescent="0.3">
      <c r="E139"/>
      <c r="G139"/>
    </row>
    <row r="140" spans="5:7" x14ac:dyDescent="0.3">
      <c r="E140"/>
      <c r="G140"/>
    </row>
    <row r="141" spans="5:7" x14ac:dyDescent="0.3">
      <c r="E141"/>
      <c r="G141"/>
    </row>
    <row r="142" spans="5:7" x14ac:dyDescent="0.3">
      <c r="E142"/>
      <c r="G142"/>
    </row>
    <row r="143" spans="5:7" x14ac:dyDescent="0.3">
      <c r="E143"/>
      <c r="G143"/>
    </row>
    <row r="144" spans="5:7" x14ac:dyDescent="0.3">
      <c r="E144"/>
      <c r="G144"/>
    </row>
    <row r="145" spans="5:7" x14ac:dyDescent="0.3">
      <c r="E145"/>
      <c r="G145"/>
    </row>
    <row r="146" spans="5:7" x14ac:dyDescent="0.3">
      <c r="E146"/>
      <c r="G146"/>
    </row>
    <row r="147" spans="5:7" x14ac:dyDescent="0.3">
      <c r="E147"/>
      <c r="G147"/>
    </row>
    <row r="148" spans="5:7" x14ac:dyDescent="0.3">
      <c r="E148"/>
      <c r="G148"/>
    </row>
    <row r="149" spans="5:7" x14ac:dyDescent="0.3">
      <c r="E149"/>
      <c r="G149"/>
    </row>
    <row r="150" spans="5:7" x14ac:dyDescent="0.3">
      <c r="E150"/>
      <c r="G150"/>
    </row>
    <row r="151" spans="5:7" x14ac:dyDescent="0.3">
      <c r="E151"/>
      <c r="G151"/>
    </row>
    <row r="152" spans="5:7" x14ac:dyDescent="0.3">
      <c r="E152"/>
      <c r="G152"/>
    </row>
    <row r="153" spans="5:7" x14ac:dyDescent="0.3">
      <c r="E153"/>
      <c r="G153"/>
    </row>
    <row r="154" spans="5:7" x14ac:dyDescent="0.3">
      <c r="E154"/>
      <c r="G154"/>
    </row>
    <row r="155" spans="5:7" x14ac:dyDescent="0.3">
      <c r="E155"/>
      <c r="G155"/>
    </row>
    <row r="156" spans="5:7" x14ac:dyDescent="0.3">
      <c r="E156"/>
      <c r="G156"/>
    </row>
    <row r="157" spans="5:7" x14ac:dyDescent="0.3">
      <c r="E157"/>
      <c r="G157"/>
    </row>
    <row r="158" spans="5:7" x14ac:dyDescent="0.3">
      <c r="E158"/>
      <c r="G158"/>
    </row>
    <row r="159" spans="5:7" x14ac:dyDescent="0.3">
      <c r="E159"/>
      <c r="G159"/>
    </row>
    <row r="160" spans="5:7" x14ac:dyDescent="0.3">
      <c r="E160"/>
      <c r="G160"/>
    </row>
    <row r="161" spans="5:7" x14ac:dyDescent="0.3">
      <c r="E161"/>
      <c r="G161"/>
    </row>
    <row r="162" spans="5:7" x14ac:dyDescent="0.3">
      <c r="E162"/>
      <c r="G162"/>
    </row>
    <row r="163" spans="5:7" x14ac:dyDescent="0.3">
      <c r="E163"/>
      <c r="G163"/>
    </row>
    <row r="164" spans="5:7" x14ac:dyDescent="0.3">
      <c r="E164"/>
      <c r="G164"/>
    </row>
    <row r="165" spans="5:7" x14ac:dyDescent="0.3">
      <c r="E165"/>
      <c r="G165"/>
    </row>
    <row r="166" spans="5:7" x14ac:dyDescent="0.3">
      <c r="E166"/>
      <c r="G166"/>
    </row>
    <row r="167" spans="5:7" x14ac:dyDescent="0.3">
      <c r="E167"/>
      <c r="G167"/>
    </row>
    <row r="168" spans="5:7" x14ac:dyDescent="0.3">
      <c r="E168"/>
      <c r="G168"/>
    </row>
    <row r="169" spans="5:7" x14ac:dyDescent="0.3">
      <c r="E169"/>
      <c r="G169"/>
    </row>
    <row r="170" spans="5:7" x14ac:dyDescent="0.3">
      <c r="E170"/>
      <c r="G170"/>
    </row>
    <row r="171" spans="5:7" x14ac:dyDescent="0.3">
      <c r="E171"/>
      <c r="G171"/>
    </row>
    <row r="172" spans="5:7" x14ac:dyDescent="0.3">
      <c r="E172"/>
      <c r="G172"/>
    </row>
    <row r="173" spans="5:7" x14ac:dyDescent="0.3">
      <c r="E173"/>
      <c r="G173"/>
    </row>
    <row r="174" spans="5:7" x14ac:dyDescent="0.3">
      <c r="E174"/>
      <c r="G174"/>
    </row>
    <row r="175" spans="5:7" x14ac:dyDescent="0.3">
      <c r="E175"/>
      <c r="G175"/>
    </row>
    <row r="176" spans="5:7" x14ac:dyDescent="0.3">
      <c r="E176"/>
      <c r="G176"/>
    </row>
    <row r="177" spans="5:7" x14ac:dyDescent="0.3">
      <c r="E177"/>
      <c r="G177"/>
    </row>
    <row r="178" spans="5:7" x14ac:dyDescent="0.3">
      <c r="E178"/>
      <c r="G178"/>
    </row>
    <row r="179" spans="5:7" x14ac:dyDescent="0.3">
      <c r="E179"/>
      <c r="G179"/>
    </row>
    <row r="180" spans="5:7" x14ac:dyDescent="0.3">
      <c r="E180"/>
      <c r="G180"/>
    </row>
    <row r="181" spans="5:7" x14ac:dyDescent="0.3">
      <c r="E181"/>
      <c r="G181"/>
    </row>
    <row r="182" spans="5:7" x14ac:dyDescent="0.3">
      <c r="E182"/>
      <c r="G182"/>
    </row>
    <row r="183" spans="5:7" x14ac:dyDescent="0.3">
      <c r="E183"/>
      <c r="G183"/>
    </row>
    <row r="184" spans="5:7" x14ac:dyDescent="0.3">
      <c r="E184"/>
      <c r="G184"/>
    </row>
    <row r="185" spans="5:7" x14ac:dyDescent="0.3">
      <c r="E185"/>
      <c r="G185"/>
    </row>
    <row r="186" spans="5:7" x14ac:dyDescent="0.3">
      <c r="E186"/>
      <c r="G186"/>
    </row>
    <row r="187" spans="5:7" x14ac:dyDescent="0.3">
      <c r="E187"/>
      <c r="G187"/>
    </row>
    <row r="188" spans="5:7" x14ac:dyDescent="0.3">
      <c r="E188"/>
      <c r="G188"/>
    </row>
    <row r="189" spans="5:7" x14ac:dyDescent="0.3">
      <c r="E189"/>
      <c r="G189"/>
    </row>
    <row r="190" spans="5:7" x14ac:dyDescent="0.3">
      <c r="E190"/>
      <c r="G190"/>
    </row>
    <row r="191" spans="5:7" x14ac:dyDescent="0.3">
      <c r="E191"/>
      <c r="G191"/>
    </row>
    <row r="192" spans="5:7" x14ac:dyDescent="0.3">
      <c r="E192"/>
      <c r="G192"/>
    </row>
    <row r="193" spans="5:7" x14ac:dyDescent="0.3">
      <c r="E193"/>
      <c r="G193"/>
    </row>
    <row r="194" spans="5:7" x14ac:dyDescent="0.3">
      <c r="E194"/>
      <c r="G194"/>
    </row>
    <row r="195" spans="5:7" x14ac:dyDescent="0.3">
      <c r="E195"/>
      <c r="G195"/>
    </row>
    <row r="196" spans="5:7" x14ac:dyDescent="0.3">
      <c r="E196"/>
      <c r="G196"/>
    </row>
    <row r="197" spans="5:7" x14ac:dyDescent="0.3">
      <c r="E197"/>
      <c r="G197"/>
    </row>
    <row r="198" spans="5:7" x14ac:dyDescent="0.3">
      <c r="E198"/>
      <c r="G198"/>
    </row>
    <row r="199" spans="5:7" x14ac:dyDescent="0.3">
      <c r="E199"/>
      <c r="G199"/>
    </row>
    <row r="200" spans="5:7" x14ac:dyDescent="0.3">
      <c r="E200"/>
      <c r="G200"/>
    </row>
    <row r="201" spans="5:7" x14ac:dyDescent="0.3">
      <c r="E201"/>
      <c r="G201"/>
    </row>
    <row r="202" spans="5:7" x14ac:dyDescent="0.3">
      <c r="E202"/>
      <c r="G202"/>
    </row>
    <row r="203" spans="5:7" x14ac:dyDescent="0.3">
      <c r="E203"/>
      <c r="G203"/>
    </row>
    <row r="204" spans="5:7" x14ac:dyDescent="0.3">
      <c r="E204"/>
      <c r="G204"/>
    </row>
    <row r="205" spans="5:7" x14ac:dyDescent="0.3">
      <c r="E205"/>
      <c r="G205"/>
    </row>
    <row r="206" spans="5:7" x14ac:dyDescent="0.3">
      <c r="E206"/>
      <c r="G206"/>
    </row>
    <row r="207" spans="5:7" x14ac:dyDescent="0.3">
      <c r="E207"/>
      <c r="G207"/>
    </row>
    <row r="208" spans="5:7" x14ac:dyDescent="0.3">
      <c r="E208"/>
      <c r="G208"/>
    </row>
    <row r="209" spans="5:7" x14ac:dyDescent="0.3">
      <c r="E209"/>
      <c r="G209"/>
    </row>
    <row r="210" spans="5:7" x14ac:dyDescent="0.3">
      <c r="E210"/>
      <c r="G210"/>
    </row>
    <row r="211" spans="5:7" x14ac:dyDescent="0.3">
      <c r="E211"/>
      <c r="G211"/>
    </row>
    <row r="212" spans="5:7" x14ac:dyDescent="0.3">
      <c r="E212"/>
      <c r="G212"/>
    </row>
    <row r="213" spans="5:7" x14ac:dyDescent="0.3">
      <c r="E213"/>
      <c r="G213"/>
    </row>
    <row r="214" spans="5:7" x14ac:dyDescent="0.3">
      <c r="E214"/>
      <c r="G214"/>
    </row>
    <row r="215" spans="5:7" x14ac:dyDescent="0.3">
      <c r="E215"/>
      <c r="G215"/>
    </row>
    <row r="216" spans="5:7" x14ac:dyDescent="0.3">
      <c r="E216"/>
      <c r="G216"/>
    </row>
    <row r="217" spans="5:7" x14ac:dyDescent="0.3">
      <c r="E217"/>
      <c r="G217"/>
    </row>
    <row r="218" spans="5:7" x14ac:dyDescent="0.3">
      <c r="E218"/>
      <c r="G218"/>
    </row>
    <row r="219" spans="5:7" x14ac:dyDescent="0.3">
      <c r="E219"/>
      <c r="G219"/>
    </row>
    <row r="220" spans="5:7" x14ac:dyDescent="0.3">
      <c r="E220"/>
      <c r="G220"/>
    </row>
    <row r="221" spans="5:7" x14ac:dyDescent="0.3">
      <c r="E221"/>
      <c r="G221"/>
    </row>
    <row r="222" spans="5:7" x14ac:dyDescent="0.3">
      <c r="E222"/>
      <c r="G222"/>
    </row>
    <row r="223" spans="5:7" x14ac:dyDescent="0.3">
      <c r="E223"/>
      <c r="G223"/>
    </row>
    <row r="224" spans="5:7" x14ac:dyDescent="0.3">
      <c r="E224"/>
      <c r="G224"/>
    </row>
    <row r="225" spans="5:7" x14ac:dyDescent="0.3">
      <c r="E225"/>
      <c r="G225"/>
    </row>
    <row r="226" spans="5:7" x14ac:dyDescent="0.3">
      <c r="E226"/>
      <c r="G226"/>
    </row>
    <row r="227" spans="5:7" x14ac:dyDescent="0.3">
      <c r="E227"/>
      <c r="G227"/>
    </row>
    <row r="228" spans="5:7" x14ac:dyDescent="0.3">
      <c r="E228"/>
      <c r="G228"/>
    </row>
    <row r="229" spans="5:7" x14ac:dyDescent="0.3">
      <c r="E229"/>
      <c r="G229"/>
    </row>
    <row r="230" spans="5:7" x14ac:dyDescent="0.3">
      <c r="E230"/>
      <c r="G230"/>
    </row>
    <row r="231" spans="5:7" x14ac:dyDescent="0.3">
      <c r="E231"/>
      <c r="G231"/>
    </row>
    <row r="232" spans="5:7" x14ac:dyDescent="0.3">
      <c r="E232"/>
      <c r="G232"/>
    </row>
    <row r="233" spans="5:7" x14ac:dyDescent="0.3">
      <c r="E233"/>
      <c r="G233"/>
    </row>
    <row r="234" spans="5:7" x14ac:dyDescent="0.3">
      <c r="E234"/>
      <c r="G234"/>
    </row>
    <row r="235" spans="5:7" x14ac:dyDescent="0.3">
      <c r="E235"/>
      <c r="G235"/>
    </row>
    <row r="236" spans="5:7" x14ac:dyDescent="0.3">
      <c r="E236"/>
      <c r="G236"/>
    </row>
    <row r="237" spans="5:7" x14ac:dyDescent="0.3">
      <c r="E237"/>
      <c r="G237"/>
    </row>
    <row r="238" spans="5:7" x14ac:dyDescent="0.3">
      <c r="E238"/>
      <c r="G238"/>
    </row>
    <row r="239" spans="5:7" x14ac:dyDescent="0.3">
      <c r="E239"/>
      <c r="G239"/>
    </row>
    <row r="240" spans="5:7" x14ac:dyDescent="0.3">
      <c r="E240"/>
      <c r="G240"/>
    </row>
    <row r="241" spans="5:7" x14ac:dyDescent="0.3">
      <c r="E241"/>
      <c r="G241"/>
    </row>
    <row r="242" spans="5:7" x14ac:dyDescent="0.3">
      <c r="E242"/>
      <c r="G242"/>
    </row>
    <row r="243" spans="5:7" x14ac:dyDescent="0.3">
      <c r="E243"/>
      <c r="G243"/>
    </row>
    <row r="244" spans="5:7" x14ac:dyDescent="0.3">
      <c r="E244"/>
      <c r="G244"/>
    </row>
    <row r="245" spans="5:7" x14ac:dyDescent="0.3">
      <c r="E245"/>
      <c r="G245"/>
    </row>
    <row r="246" spans="5:7" x14ac:dyDescent="0.3">
      <c r="E246"/>
      <c r="G246"/>
    </row>
    <row r="247" spans="5:7" x14ac:dyDescent="0.3">
      <c r="E247"/>
      <c r="G247"/>
    </row>
    <row r="248" spans="5:7" x14ac:dyDescent="0.3">
      <c r="E248"/>
      <c r="G248"/>
    </row>
    <row r="249" spans="5:7" x14ac:dyDescent="0.3">
      <c r="E249"/>
      <c r="G249"/>
    </row>
    <row r="250" spans="5:7" x14ac:dyDescent="0.3">
      <c r="E250"/>
      <c r="G250"/>
    </row>
    <row r="251" spans="5:7" x14ac:dyDescent="0.3">
      <c r="E251"/>
      <c r="G251"/>
    </row>
    <row r="252" spans="5:7" x14ac:dyDescent="0.3">
      <c r="E252"/>
      <c r="G252"/>
    </row>
    <row r="253" spans="5:7" x14ac:dyDescent="0.3">
      <c r="E253"/>
      <c r="G253"/>
    </row>
    <row r="254" spans="5:7" x14ac:dyDescent="0.3">
      <c r="E254"/>
      <c r="G254"/>
    </row>
    <row r="255" spans="5:7" x14ac:dyDescent="0.3">
      <c r="E255"/>
      <c r="G255"/>
    </row>
    <row r="256" spans="5:7" x14ac:dyDescent="0.3">
      <c r="E256"/>
      <c r="G256"/>
    </row>
    <row r="257" spans="5:7" x14ac:dyDescent="0.3">
      <c r="E257"/>
      <c r="G257"/>
    </row>
    <row r="258" spans="5:7" x14ac:dyDescent="0.3">
      <c r="E258"/>
      <c r="G258"/>
    </row>
    <row r="259" spans="5:7" x14ac:dyDescent="0.3">
      <c r="E259"/>
      <c r="G259"/>
    </row>
    <row r="260" spans="5:7" x14ac:dyDescent="0.3">
      <c r="E260"/>
      <c r="G260"/>
    </row>
    <row r="261" spans="5:7" x14ac:dyDescent="0.3">
      <c r="E261"/>
      <c r="G261"/>
    </row>
    <row r="262" spans="5:7" x14ac:dyDescent="0.3">
      <c r="E262"/>
      <c r="G262"/>
    </row>
    <row r="263" spans="5:7" x14ac:dyDescent="0.3">
      <c r="E263"/>
      <c r="G263"/>
    </row>
    <row r="264" spans="5:7" x14ac:dyDescent="0.3">
      <c r="E264"/>
      <c r="G264"/>
    </row>
    <row r="265" spans="5:7" x14ac:dyDescent="0.3">
      <c r="E265"/>
      <c r="G265"/>
    </row>
    <row r="266" spans="5:7" x14ac:dyDescent="0.3">
      <c r="E266"/>
      <c r="G266"/>
    </row>
    <row r="267" spans="5:7" x14ac:dyDescent="0.3">
      <c r="E267"/>
      <c r="G267"/>
    </row>
    <row r="268" spans="5:7" x14ac:dyDescent="0.3">
      <c r="E268"/>
      <c r="G268"/>
    </row>
    <row r="269" spans="5:7" x14ac:dyDescent="0.3">
      <c r="E269"/>
      <c r="G269"/>
    </row>
    <row r="270" spans="5:7" x14ac:dyDescent="0.3">
      <c r="E270"/>
      <c r="G270"/>
    </row>
    <row r="271" spans="5:7" x14ac:dyDescent="0.3">
      <c r="E271"/>
      <c r="G271"/>
    </row>
    <row r="272" spans="5:7" x14ac:dyDescent="0.3">
      <c r="E272"/>
      <c r="G272"/>
    </row>
    <row r="273" spans="5:7" x14ac:dyDescent="0.3">
      <c r="E273"/>
      <c r="G273"/>
    </row>
    <row r="274" spans="5:7" x14ac:dyDescent="0.3">
      <c r="E274"/>
      <c r="G274"/>
    </row>
    <row r="275" spans="5:7" x14ac:dyDescent="0.3">
      <c r="E275"/>
      <c r="G275"/>
    </row>
    <row r="276" spans="5:7" x14ac:dyDescent="0.3">
      <c r="E276"/>
      <c r="G276"/>
    </row>
    <row r="277" spans="5:7" x14ac:dyDescent="0.3">
      <c r="E277"/>
      <c r="G277"/>
    </row>
    <row r="278" spans="5:7" x14ac:dyDescent="0.3">
      <c r="E278"/>
      <c r="G278"/>
    </row>
    <row r="279" spans="5:7" x14ac:dyDescent="0.3">
      <c r="E279"/>
      <c r="G279"/>
    </row>
    <row r="280" spans="5:7" x14ac:dyDescent="0.3">
      <c r="E280"/>
      <c r="G280"/>
    </row>
    <row r="281" spans="5:7" x14ac:dyDescent="0.3">
      <c r="E281"/>
      <c r="G281"/>
    </row>
    <row r="282" spans="5:7" x14ac:dyDescent="0.3">
      <c r="E282"/>
      <c r="G282"/>
    </row>
    <row r="283" spans="5:7" x14ac:dyDescent="0.3">
      <c r="E283"/>
      <c r="G283"/>
    </row>
    <row r="284" spans="5:7" x14ac:dyDescent="0.3">
      <c r="E284"/>
      <c r="G284"/>
    </row>
    <row r="285" spans="5:7" x14ac:dyDescent="0.3">
      <c r="E285"/>
      <c r="G285"/>
    </row>
    <row r="286" spans="5:7" x14ac:dyDescent="0.3">
      <c r="E286"/>
      <c r="G286"/>
    </row>
    <row r="287" spans="5:7" x14ac:dyDescent="0.3">
      <c r="E287"/>
      <c r="G287"/>
    </row>
    <row r="288" spans="5:7" x14ac:dyDescent="0.3">
      <c r="E288"/>
      <c r="G288"/>
    </row>
    <row r="289" spans="5:7" x14ac:dyDescent="0.3">
      <c r="E289"/>
      <c r="G289"/>
    </row>
    <row r="290" spans="5:7" x14ac:dyDescent="0.3">
      <c r="E290"/>
      <c r="G290"/>
    </row>
    <row r="291" spans="5:7" x14ac:dyDescent="0.3">
      <c r="E291"/>
      <c r="G291"/>
    </row>
    <row r="292" spans="5:7" x14ac:dyDescent="0.3">
      <c r="E292"/>
    </row>
    <row r="293" spans="5:7" x14ac:dyDescent="0.3">
      <c r="E293"/>
    </row>
    <row r="294" spans="5:7" x14ac:dyDescent="0.3">
      <c r="E294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5473-A7DB-4943-90D6-4CE27C8EB511}">
  <dimension ref="A1:R48"/>
  <sheetViews>
    <sheetView workbookViewId="0">
      <selection activeCell="A2" sqref="A2:XFD1449"/>
    </sheetView>
  </sheetViews>
  <sheetFormatPr defaultRowHeight="15.05" x14ac:dyDescent="0.3"/>
  <cols>
    <col min="1" max="1" width="22" bestFit="1" customWidth="1"/>
    <col min="2" max="2" width="11.77734375" bestFit="1" customWidth="1"/>
    <col min="3" max="3" width="16.44140625" bestFit="1" customWidth="1"/>
    <col min="4" max="4" width="7.44140625" bestFit="1" customWidth="1"/>
    <col min="5" max="5" width="6.88671875" bestFit="1" customWidth="1"/>
    <col min="6" max="6" width="8.33203125" bestFit="1" customWidth="1"/>
    <col min="7" max="7" width="6.33203125" bestFit="1" customWidth="1"/>
    <col min="8" max="8" width="7.88671875" bestFit="1" customWidth="1"/>
    <col min="9" max="9" width="13" bestFit="1" customWidth="1"/>
    <col min="10" max="10" width="25.6640625" bestFit="1" customWidth="1"/>
    <col min="11" max="11" width="19.88671875" bestFit="1" customWidth="1"/>
    <col min="12" max="12" width="15.33203125" customWidth="1"/>
    <col min="13" max="13" width="80.88671875" customWidth="1"/>
    <col min="14" max="16" width="10.77734375" customWidth="1"/>
    <col min="17" max="17" width="33.33203125" bestFit="1" customWidth="1"/>
    <col min="18" max="18" width="14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131</v>
      </c>
      <c r="P1" t="s">
        <v>132</v>
      </c>
      <c r="Q1" t="s">
        <v>14</v>
      </c>
      <c r="R1" t="s">
        <v>133</v>
      </c>
    </row>
    <row r="2" spans="1:18" ht="15.85" customHeight="1" x14ac:dyDescent="0.3">
      <c r="A2" t="s">
        <v>23</v>
      </c>
      <c r="B2" s="1">
        <v>45496</v>
      </c>
      <c r="C2" s="1">
        <v>45505</v>
      </c>
      <c r="D2" t="s">
        <v>17</v>
      </c>
      <c r="E2">
        <v>2024</v>
      </c>
      <c r="F2">
        <v>7</v>
      </c>
      <c r="G2">
        <v>23</v>
      </c>
      <c r="H2">
        <v>30</v>
      </c>
      <c r="I2" s="3">
        <v>1</v>
      </c>
      <c r="J2" t="s">
        <v>34</v>
      </c>
      <c r="K2" t="s">
        <v>35</v>
      </c>
      <c r="L2" t="s">
        <v>36</v>
      </c>
      <c r="M2" t="s">
        <v>82</v>
      </c>
      <c r="N2" s="3">
        <v>157</v>
      </c>
      <c r="O2" s="3">
        <f>ApprovedTimeReport_002_202476[[#This Row],[CostRate]]/0.9075</f>
        <v>173.00275482093664</v>
      </c>
      <c r="P2" s="3">
        <f>ApprovedTimeReport_002_202476[[#This Row],[CostRate (w/ Taxes)]]*ApprovedTimeReport_002_202476[[#This Row],[Time Actual]]</f>
        <v>173.00275482093664</v>
      </c>
      <c r="Q2" t="s">
        <v>24</v>
      </c>
      <c r="R2" s="2" t="str">
        <f>VLOOKUP(A:A,Vlookup!A:B,2,0)</f>
        <v>FF</v>
      </c>
    </row>
    <row r="3" spans="1:18" ht="15.85" customHeight="1" x14ac:dyDescent="0.3">
      <c r="A3" t="s">
        <v>23</v>
      </c>
      <c r="B3" s="1">
        <v>45488</v>
      </c>
      <c r="C3" s="1">
        <v>45505</v>
      </c>
      <c r="D3" t="s">
        <v>17</v>
      </c>
      <c r="E3">
        <v>2024</v>
      </c>
      <c r="F3">
        <v>7</v>
      </c>
      <c r="G3">
        <v>15</v>
      </c>
      <c r="H3">
        <v>29</v>
      </c>
      <c r="I3" s="3">
        <v>1</v>
      </c>
      <c r="J3" t="s">
        <v>34</v>
      </c>
      <c r="K3" t="s">
        <v>35</v>
      </c>
      <c r="L3" t="s">
        <v>36</v>
      </c>
      <c r="M3" t="s">
        <v>105</v>
      </c>
      <c r="N3" s="3">
        <v>157</v>
      </c>
      <c r="O3" s="3">
        <f>ApprovedTimeReport_002_202476[[#This Row],[CostRate]]/0.9075</f>
        <v>173.00275482093664</v>
      </c>
      <c r="P3" s="3">
        <f>ApprovedTimeReport_002_202476[[#This Row],[CostRate (w/ Taxes)]]*ApprovedTimeReport_002_202476[[#This Row],[Time Actual]]</f>
        <v>173.00275482093664</v>
      </c>
      <c r="Q3" t="s">
        <v>24</v>
      </c>
      <c r="R3" s="2" t="str">
        <f>VLOOKUP(A:A,Vlookup!A:B,2,0)</f>
        <v>FF</v>
      </c>
    </row>
    <row r="4" spans="1:18" ht="15.85" customHeight="1" x14ac:dyDescent="0.3">
      <c r="A4" t="s">
        <v>23</v>
      </c>
      <c r="B4" s="1">
        <v>45477</v>
      </c>
      <c r="C4" s="1">
        <v>45505</v>
      </c>
      <c r="D4" t="s">
        <v>17</v>
      </c>
      <c r="E4">
        <v>2024</v>
      </c>
      <c r="F4">
        <v>7</v>
      </c>
      <c r="G4">
        <v>4</v>
      </c>
      <c r="H4">
        <v>27</v>
      </c>
      <c r="I4" s="3">
        <v>2</v>
      </c>
      <c r="J4" t="s">
        <v>34</v>
      </c>
      <c r="K4" t="s">
        <v>35</v>
      </c>
      <c r="L4" t="s">
        <v>36</v>
      </c>
      <c r="M4" t="s">
        <v>120</v>
      </c>
      <c r="N4" s="3">
        <v>157</v>
      </c>
      <c r="O4" s="3">
        <f>ApprovedTimeReport_002_202476[[#This Row],[CostRate]]/0.9075</f>
        <v>173.00275482093664</v>
      </c>
      <c r="P4" s="3">
        <f>ApprovedTimeReport_002_202476[[#This Row],[CostRate (w/ Taxes)]]*ApprovedTimeReport_002_202476[[#This Row],[Time Actual]]</f>
        <v>346.00550964187329</v>
      </c>
      <c r="Q4" t="s">
        <v>24</v>
      </c>
      <c r="R4" s="2" t="str">
        <f>VLOOKUP(A:A,Vlookup!A:B,2,0)</f>
        <v>FF</v>
      </c>
    </row>
    <row r="5" spans="1:18" ht="15.85" customHeight="1" x14ac:dyDescent="0.3">
      <c r="A5" t="s">
        <v>23</v>
      </c>
      <c r="B5" s="1">
        <v>45476</v>
      </c>
      <c r="C5" s="1">
        <v>45505</v>
      </c>
      <c r="D5" t="s">
        <v>17</v>
      </c>
      <c r="E5">
        <v>2024</v>
      </c>
      <c r="F5">
        <v>7</v>
      </c>
      <c r="G5">
        <v>3</v>
      </c>
      <c r="H5">
        <v>27</v>
      </c>
      <c r="I5" s="3">
        <v>1</v>
      </c>
      <c r="J5" t="s">
        <v>34</v>
      </c>
      <c r="K5" t="s">
        <v>35</v>
      </c>
      <c r="L5" t="s">
        <v>36</v>
      </c>
      <c r="M5" t="s">
        <v>123</v>
      </c>
      <c r="N5" s="3">
        <v>157</v>
      </c>
      <c r="O5" s="3">
        <f>ApprovedTimeReport_002_202476[[#This Row],[CostRate]]/0.9075</f>
        <v>173.00275482093664</v>
      </c>
      <c r="P5" s="3">
        <f>ApprovedTimeReport_002_202476[[#This Row],[CostRate (w/ Taxes)]]*ApprovedTimeReport_002_202476[[#This Row],[Time Actual]]</f>
        <v>173.00275482093664</v>
      </c>
      <c r="Q5" t="s">
        <v>24</v>
      </c>
      <c r="R5" s="2" t="str">
        <f>VLOOKUP(A:A,Vlookup!A:B,2,0)</f>
        <v>FF</v>
      </c>
    </row>
    <row r="6" spans="1:18" ht="15.85" customHeight="1" x14ac:dyDescent="0.3">
      <c r="A6" t="s">
        <v>15</v>
      </c>
      <c r="B6" s="1">
        <v>45504</v>
      </c>
      <c r="C6" s="1">
        <v>45505</v>
      </c>
      <c r="D6" t="s">
        <v>32</v>
      </c>
      <c r="E6">
        <v>2024</v>
      </c>
      <c r="F6">
        <v>7</v>
      </c>
      <c r="G6">
        <v>31</v>
      </c>
      <c r="H6">
        <v>31</v>
      </c>
      <c r="I6" s="3">
        <v>2</v>
      </c>
      <c r="J6" t="s">
        <v>34</v>
      </c>
      <c r="K6" t="s">
        <v>35</v>
      </c>
      <c r="L6" t="s">
        <v>36</v>
      </c>
      <c r="M6" t="s">
        <v>37</v>
      </c>
      <c r="N6" s="3">
        <v>157</v>
      </c>
      <c r="O6" s="3">
        <f>ApprovedTimeReport_002_202476[[#This Row],[CostRate]]/0.9075</f>
        <v>173.00275482093664</v>
      </c>
      <c r="P6" s="3">
        <f>ApprovedTimeReport_002_202476[[#This Row],[CostRate (w/ Taxes)]]*ApprovedTimeReport_002_202476[[#This Row],[Time Actual]]</f>
        <v>346.00550964187329</v>
      </c>
      <c r="Q6" t="s">
        <v>16</v>
      </c>
      <c r="R6" s="2" t="str">
        <f>VLOOKUP(A:A,Vlookup!A:B,2,0)</f>
        <v>FF</v>
      </c>
    </row>
    <row r="7" spans="1:18" ht="15.85" customHeight="1" x14ac:dyDescent="0.3">
      <c r="A7" t="s">
        <v>15</v>
      </c>
      <c r="B7" s="1">
        <v>45490</v>
      </c>
      <c r="C7" s="1">
        <v>45505</v>
      </c>
      <c r="D7" t="s">
        <v>32</v>
      </c>
      <c r="E7">
        <v>2024</v>
      </c>
      <c r="F7">
        <v>7</v>
      </c>
      <c r="G7">
        <v>17</v>
      </c>
      <c r="H7">
        <v>29</v>
      </c>
      <c r="I7" s="3">
        <v>1</v>
      </c>
      <c r="J7" t="s">
        <v>34</v>
      </c>
      <c r="K7" t="s">
        <v>35</v>
      </c>
      <c r="L7" t="s">
        <v>36</v>
      </c>
      <c r="M7" t="s">
        <v>92</v>
      </c>
      <c r="N7" s="3">
        <v>157</v>
      </c>
      <c r="O7" s="3">
        <f>ApprovedTimeReport_002_202476[[#This Row],[CostRate]]/0.9075</f>
        <v>173.00275482093664</v>
      </c>
      <c r="P7" s="3">
        <f>ApprovedTimeReport_002_202476[[#This Row],[CostRate (w/ Taxes)]]*ApprovedTimeReport_002_202476[[#This Row],[Time Actual]]</f>
        <v>173.00275482093664</v>
      </c>
      <c r="Q7" t="s">
        <v>16</v>
      </c>
      <c r="R7" s="2" t="str">
        <f>VLOOKUP(A:A,Vlookup!A:B,2,0)</f>
        <v>FF</v>
      </c>
    </row>
    <row r="8" spans="1:18" ht="15.85" customHeight="1" x14ac:dyDescent="0.3">
      <c r="A8" t="s">
        <v>15</v>
      </c>
      <c r="B8" s="1">
        <v>45489</v>
      </c>
      <c r="C8" s="1">
        <v>45505</v>
      </c>
      <c r="D8" t="s">
        <v>32</v>
      </c>
      <c r="E8">
        <v>2024</v>
      </c>
      <c r="F8">
        <v>7</v>
      </c>
      <c r="G8">
        <v>16</v>
      </c>
      <c r="H8">
        <v>29</v>
      </c>
      <c r="I8" s="3">
        <v>1</v>
      </c>
      <c r="J8" t="s">
        <v>34</v>
      </c>
      <c r="K8" t="s">
        <v>35</v>
      </c>
      <c r="L8" t="s">
        <v>36</v>
      </c>
      <c r="M8" t="s">
        <v>99</v>
      </c>
      <c r="N8" s="3">
        <v>157</v>
      </c>
      <c r="O8" s="3">
        <f>ApprovedTimeReport_002_202476[[#This Row],[CostRate]]/0.9075</f>
        <v>173.00275482093664</v>
      </c>
      <c r="P8" s="3">
        <f>ApprovedTimeReport_002_202476[[#This Row],[CostRate (w/ Taxes)]]*ApprovedTimeReport_002_202476[[#This Row],[Time Actual]]</f>
        <v>173.00275482093664</v>
      </c>
      <c r="Q8" t="s">
        <v>16</v>
      </c>
      <c r="R8" s="2" t="str">
        <f>VLOOKUP(A:A,Vlookup!A:B,2,0)</f>
        <v>FF</v>
      </c>
    </row>
    <row r="9" spans="1:18" ht="15.85" customHeight="1" x14ac:dyDescent="0.3">
      <c r="A9" t="s">
        <v>15</v>
      </c>
      <c r="B9" s="1">
        <v>45476</v>
      </c>
      <c r="C9" s="1">
        <v>45505</v>
      </c>
      <c r="D9" t="s">
        <v>32</v>
      </c>
      <c r="E9">
        <v>2024</v>
      </c>
      <c r="F9">
        <v>7</v>
      </c>
      <c r="G9">
        <v>3</v>
      </c>
      <c r="H9">
        <v>27</v>
      </c>
      <c r="I9" s="3">
        <v>1</v>
      </c>
      <c r="J9" t="s">
        <v>34</v>
      </c>
      <c r="K9" t="s">
        <v>35</v>
      </c>
      <c r="L9" t="s">
        <v>36</v>
      </c>
      <c r="M9" t="s">
        <v>124</v>
      </c>
      <c r="N9" s="3">
        <v>157</v>
      </c>
      <c r="O9" s="3">
        <f>ApprovedTimeReport_002_202476[[#This Row],[CostRate]]/0.9075</f>
        <v>173.00275482093664</v>
      </c>
      <c r="P9" s="3">
        <f>ApprovedTimeReport_002_202476[[#This Row],[CostRate (w/ Taxes)]]*ApprovedTimeReport_002_202476[[#This Row],[Time Actual]]</f>
        <v>173.00275482093664</v>
      </c>
      <c r="Q9" t="s">
        <v>16</v>
      </c>
      <c r="R9" s="2" t="str">
        <f>VLOOKUP(A:A,Vlookup!A:B,2,0)</f>
        <v>FF</v>
      </c>
    </row>
    <row r="10" spans="1:18" ht="15.85" customHeight="1" x14ac:dyDescent="0.3">
      <c r="A10" t="s">
        <v>15</v>
      </c>
      <c r="B10" s="1">
        <v>45475</v>
      </c>
      <c r="C10" s="1">
        <v>45505</v>
      </c>
      <c r="D10" t="s">
        <v>32</v>
      </c>
      <c r="E10">
        <v>2024</v>
      </c>
      <c r="F10">
        <v>7</v>
      </c>
      <c r="G10">
        <v>2</v>
      </c>
      <c r="H10">
        <v>27</v>
      </c>
      <c r="I10" s="3">
        <v>1</v>
      </c>
      <c r="J10" t="s">
        <v>34</v>
      </c>
      <c r="K10" t="s">
        <v>35</v>
      </c>
      <c r="L10" t="s">
        <v>36</v>
      </c>
      <c r="M10" t="s">
        <v>128</v>
      </c>
      <c r="N10" s="3">
        <v>157</v>
      </c>
      <c r="O10" s="3">
        <f>ApprovedTimeReport_002_202476[[#This Row],[CostRate]]/0.9075</f>
        <v>173.00275482093664</v>
      </c>
      <c r="P10" s="3">
        <f>ApprovedTimeReport_002_202476[[#This Row],[CostRate (w/ Taxes)]]*ApprovedTimeReport_002_202476[[#This Row],[Time Actual]]</f>
        <v>173.00275482093664</v>
      </c>
      <c r="Q10" t="s">
        <v>16</v>
      </c>
      <c r="R10" s="2" t="str">
        <f>VLOOKUP(A:A,Vlookup!A:B,2,0)</f>
        <v>FF</v>
      </c>
    </row>
    <row r="11" spans="1:18" ht="15.85" customHeight="1" x14ac:dyDescent="0.3">
      <c r="A11" t="s">
        <v>63</v>
      </c>
      <c r="B11" s="1">
        <v>45475</v>
      </c>
      <c r="C11" s="1">
        <v>45505</v>
      </c>
      <c r="D11" t="s">
        <v>17</v>
      </c>
      <c r="E11">
        <v>2024</v>
      </c>
      <c r="F11">
        <v>7</v>
      </c>
      <c r="G11">
        <v>2</v>
      </c>
      <c r="H11">
        <v>27</v>
      </c>
      <c r="I11" s="3">
        <v>1</v>
      </c>
      <c r="J11" t="s">
        <v>34</v>
      </c>
      <c r="K11" t="s">
        <v>35</v>
      </c>
      <c r="L11" t="s">
        <v>36</v>
      </c>
      <c r="M11" t="s">
        <v>127</v>
      </c>
      <c r="N11" s="3">
        <v>157</v>
      </c>
      <c r="O11" s="3">
        <f>ApprovedTimeReport_002_202476[[#This Row],[CostRate]]/0.9075</f>
        <v>173.00275482093664</v>
      </c>
      <c r="P11" s="3">
        <f>ApprovedTimeReport_002_202476[[#This Row],[CostRate (w/ Taxes)]]*ApprovedTimeReport_002_202476[[#This Row],[Time Actual]]</f>
        <v>173.00275482093664</v>
      </c>
      <c r="Q11" t="s">
        <v>38</v>
      </c>
      <c r="R11" s="2" t="str">
        <f>VLOOKUP(A:A,Vlookup!A:B,2,0)</f>
        <v>T&amp;M</v>
      </c>
    </row>
    <row r="12" spans="1:18" ht="15.85" customHeight="1" x14ac:dyDescent="0.3">
      <c r="A12" t="s">
        <v>47</v>
      </c>
      <c r="B12" s="1">
        <v>45490</v>
      </c>
      <c r="C12" s="1">
        <v>45505</v>
      </c>
      <c r="D12" t="s">
        <v>17</v>
      </c>
      <c r="E12">
        <v>2024</v>
      </c>
      <c r="F12">
        <v>7</v>
      </c>
      <c r="G12">
        <v>17</v>
      </c>
      <c r="H12">
        <v>29</v>
      </c>
      <c r="I12" s="3">
        <v>1</v>
      </c>
      <c r="J12" t="s">
        <v>34</v>
      </c>
      <c r="K12" t="s">
        <v>35</v>
      </c>
      <c r="L12" t="s">
        <v>36</v>
      </c>
      <c r="M12" t="s">
        <v>89</v>
      </c>
      <c r="N12" s="3">
        <v>157</v>
      </c>
      <c r="O12" s="3">
        <f>ApprovedTimeReport_002_202476[[#This Row],[CostRate]]/0.9075</f>
        <v>173.00275482093664</v>
      </c>
      <c r="P12" s="3">
        <f>ApprovedTimeReport_002_202476[[#This Row],[CostRate (w/ Taxes)]]*ApprovedTimeReport_002_202476[[#This Row],[Time Actual]]</f>
        <v>173.00275482093664</v>
      </c>
      <c r="Q12" t="s">
        <v>40</v>
      </c>
      <c r="R12" s="2" t="str">
        <f>VLOOKUP(A:A,Vlookup!A:B,2,0)</f>
        <v>FF</v>
      </c>
    </row>
    <row r="13" spans="1:18" ht="15.85" customHeight="1" x14ac:dyDescent="0.3">
      <c r="A13" t="s">
        <v>47</v>
      </c>
      <c r="B13" s="1">
        <v>45476</v>
      </c>
      <c r="C13" s="1">
        <v>45505</v>
      </c>
      <c r="D13" t="s">
        <v>17</v>
      </c>
      <c r="E13">
        <v>2024</v>
      </c>
      <c r="F13">
        <v>7</v>
      </c>
      <c r="G13">
        <v>3</v>
      </c>
      <c r="H13">
        <v>27</v>
      </c>
      <c r="I13" s="3">
        <v>1</v>
      </c>
      <c r="J13" t="s">
        <v>34</v>
      </c>
      <c r="K13" t="s">
        <v>35</v>
      </c>
      <c r="L13" t="s">
        <v>36</v>
      </c>
      <c r="M13" t="s">
        <v>122</v>
      </c>
      <c r="N13" s="3">
        <v>157</v>
      </c>
      <c r="O13" s="3">
        <f>ApprovedTimeReport_002_202476[[#This Row],[CostRate]]/0.9075</f>
        <v>173.00275482093664</v>
      </c>
      <c r="P13" s="3">
        <f>ApprovedTimeReport_002_202476[[#This Row],[CostRate (w/ Taxes)]]*ApprovedTimeReport_002_202476[[#This Row],[Time Actual]]</f>
        <v>173.00275482093664</v>
      </c>
      <c r="Q13" t="s">
        <v>40</v>
      </c>
      <c r="R13" s="2" t="str">
        <f>VLOOKUP(A:A,Vlookup!A:B,2,0)</f>
        <v>FF</v>
      </c>
    </row>
    <row r="14" spans="1:18" ht="15.85" customHeight="1" x14ac:dyDescent="0.3">
      <c r="A14" t="s">
        <v>18</v>
      </c>
      <c r="B14" s="1">
        <v>45504</v>
      </c>
      <c r="C14" s="1">
        <v>45505</v>
      </c>
      <c r="D14" t="s">
        <v>17</v>
      </c>
      <c r="E14">
        <v>2024</v>
      </c>
      <c r="F14">
        <v>7</v>
      </c>
      <c r="G14">
        <v>31</v>
      </c>
      <c r="H14">
        <v>31</v>
      </c>
      <c r="I14" s="3">
        <v>2</v>
      </c>
      <c r="J14" t="s">
        <v>34</v>
      </c>
      <c r="K14" t="s">
        <v>35</v>
      </c>
      <c r="L14" t="s">
        <v>28</v>
      </c>
      <c r="M14" t="s">
        <v>39</v>
      </c>
      <c r="N14" s="3">
        <v>157</v>
      </c>
      <c r="O14" s="3">
        <f>ApprovedTimeReport_002_202476[[#This Row],[CostRate]]/0.9075</f>
        <v>173.00275482093664</v>
      </c>
      <c r="P14" s="3">
        <f>ApprovedTimeReport_002_202476[[#This Row],[CostRate (w/ Taxes)]]*ApprovedTimeReport_002_202476[[#This Row],[Time Actual]]</f>
        <v>346.00550964187329</v>
      </c>
      <c r="Q14" t="s">
        <v>19</v>
      </c>
      <c r="R14" s="2" t="str">
        <f>VLOOKUP(A:A,Vlookup!A:B,2,0)</f>
        <v>FF</v>
      </c>
    </row>
    <row r="15" spans="1:18" ht="15.85" customHeight="1" x14ac:dyDescent="0.3">
      <c r="A15" t="s">
        <v>26</v>
      </c>
      <c r="B15" s="1">
        <v>45504</v>
      </c>
      <c r="C15" s="1">
        <v>45505</v>
      </c>
      <c r="D15" t="s">
        <v>29</v>
      </c>
      <c r="E15">
        <v>2024</v>
      </c>
      <c r="F15">
        <v>7</v>
      </c>
      <c r="G15">
        <v>31</v>
      </c>
      <c r="H15">
        <v>31</v>
      </c>
      <c r="I15" s="3">
        <v>4</v>
      </c>
      <c r="J15" t="s">
        <v>34</v>
      </c>
      <c r="K15" t="s">
        <v>35</v>
      </c>
      <c r="L15" t="s">
        <v>28</v>
      </c>
      <c r="M15" t="s">
        <v>41</v>
      </c>
      <c r="N15" s="3">
        <v>99.83</v>
      </c>
      <c r="O15" s="3">
        <v>110</v>
      </c>
      <c r="P15" s="3">
        <f>ApprovedTimeReport_002_202476[[#This Row],[CostRate (w/ Taxes)]]*ApprovedTimeReport_002_202476[[#This Row],[Time Actual]]</f>
        <v>440</v>
      </c>
      <c r="Q15" t="s">
        <v>21</v>
      </c>
      <c r="R15" s="2" t="str">
        <f>VLOOKUP(A:A,Vlookup!A:B,2,0)</f>
        <v>NB</v>
      </c>
    </row>
    <row r="16" spans="1:18" ht="15.85" customHeight="1" x14ac:dyDescent="0.3">
      <c r="A16" t="s">
        <v>26</v>
      </c>
      <c r="B16" s="1">
        <v>45503</v>
      </c>
      <c r="C16" s="1">
        <v>45505</v>
      </c>
      <c r="D16" t="s">
        <v>29</v>
      </c>
      <c r="E16">
        <v>2024</v>
      </c>
      <c r="F16">
        <v>7</v>
      </c>
      <c r="G16">
        <v>30</v>
      </c>
      <c r="H16">
        <v>31</v>
      </c>
      <c r="I16" s="3">
        <v>6</v>
      </c>
      <c r="J16" t="s">
        <v>34</v>
      </c>
      <c r="K16" t="s">
        <v>35</v>
      </c>
      <c r="L16" t="s">
        <v>28</v>
      </c>
      <c r="M16" t="s">
        <v>65</v>
      </c>
      <c r="N16" s="3">
        <v>99.83</v>
      </c>
      <c r="O16" s="3">
        <v>110</v>
      </c>
      <c r="P16" s="3">
        <f>ApprovedTimeReport_002_202476[[#This Row],[CostRate (w/ Taxes)]]*ApprovedTimeReport_002_202476[[#This Row],[Time Actual]]</f>
        <v>660</v>
      </c>
      <c r="Q16" t="s">
        <v>21</v>
      </c>
      <c r="R16" s="2" t="str">
        <f>VLOOKUP(A:A,Vlookup!A:B,2,0)</f>
        <v>NB</v>
      </c>
    </row>
    <row r="17" spans="1:18" ht="15.85" customHeight="1" x14ac:dyDescent="0.3">
      <c r="A17" t="s">
        <v>26</v>
      </c>
      <c r="B17" s="1">
        <v>45502</v>
      </c>
      <c r="C17" s="1">
        <v>45505</v>
      </c>
      <c r="D17" t="s">
        <v>29</v>
      </c>
      <c r="E17">
        <v>2024</v>
      </c>
      <c r="F17">
        <v>7</v>
      </c>
      <c r="G17">
        <v>29</v>
      </c>
      <c r="H17">
        <v>31</v>
      </c>
      <c r="I17" s="3">
        <v>8</v>
      </c>
      <c r="J17" t="s">
        <v>34</v>
      </c>
      <c r="K17" t="s">
        <v>35</v>
      </c>
      <c r="L17" t="s">
        <v>28</v>
      </c>
      <c r="M17" t="s">
        <v>66</v>
      </c>
      <c r="N17" s="3">
        <v>99.83</v>
      </c>
      <c r="O17" s="3">
        <v>110</v>
      </c>
      <c r="P17" s="3">
        <f>ApprovedTimeReport_002_202476[[#This Row],[CostRate (w/ Taxes)]]*ApprovedTimeReport_002_202476[[#This Row],[Time Actual]]</f>
        <v>880</v>
      </c>
      <c r="Q17" t="s">
        <v>21</v>
      </c>
      <c r="R17" s="2" t="str">
        <f>VLOOKUP(A:A,Vlookup!A:B,2,0)</f>
        <v>NB</v>
      </c>
    </row>
    <row r="18" spans="1:18" ht="15.85" customHeight="1" x14ac:dyDescent="0.3">
      <c r="A18" t="s">
        <v>26</v>
      </c>
      <c r="B18" s="1">
        <v>45499</v>
      </c>
      <c r="C18" s="1">
        <v>45505</v>
      </c>
      <c r="D18" t="s">
        <v>29</v>
      </c>
      <c r="E18">
        <v>2024</v>
      </c>
      <c r="F18">
        <v>7</v>
      </c>
      <c r="G18">
        <v>26</v>
      </c>
      <c r="H18">
        <v>30</v>
      </c>
      <c r="I18" s="3">
        <v>8</v>
      </c>
      <c r="J18" t="s">
        <v>34</v>
      </c>
      <c r="K18" t="s">
        <v>35</v>
      </c>
      <c r="L18" t="s">
        <v>28</v>
      </c>
      <c r="M18" t="s">
        <v>69</v>
      </c>
      <c r="N18" s="3">
        <v>99.83</v>
      </c>
      <c r="O18" s="3">
        <v>110</v>
      </c>
      <c r="P18" s="3">
        <f>ApprovedTimeReport_002_202476[[#This Row],[CostRate (w/ Taxes)]]*ApprovedTimeReport_002_202476[[#This Row],[Time Actual]]</f>
        <v>880</v>
      </c>
      <c r="Q18" t="s">
        <v>21</v>
      </c>
      <c r="R18" s="2" t="str">
        <f>VLOOKUP(A:A,Vlookup!A:B,2,0)</f>
        <v>NB</v>
      </c>
    </row>
    <row r="19" spans="1:18" ht="15.85" customHeight="1" x14ac:dyDescent="0.3">
      <c r="A19" t="s">
        <v>26</v>
      </c>
      <c r="B19" s="1">
        <v>45498</v>
      </c>
      <c r="C19" s="1">
        <v>45505</v>
      </c>
      <c r="D19" t="s">
        <v>29</v>
      </c>
      <c r="E19">
        <v>2024</v>
      </c>
      <c r="F19">
        <v>7</v>
      </c>
      <c r="G19">
        <v>25</v>
      </c>
      <c r="H19">
        <v>30</v>
      </c>
      <c r="I19" s="3">
        <v>4</v>
      </c>
      <c r="J19" t="s">
        <v>34</v>
      </c>
      <c r="K19" t="s">
        <v>35</v>
      </c>
      <c r="L19" t="s">
        <v>28</v>
      </c>
      <c r="M19" t="s">
        <v>77</v>
      </c>
      <c r="N19" s="3">
        <v>99.83</v>
      </c>
      <c r="O19" s="3">
        <v>110</v>
      </c>
      <c r="P19" s="3">
        <f>ApprovedTimeReport_002_202476[[#This Row],[CostRate (w/ Taxes)]]*ApprovedTimeReport_002_202476[[#This Row],[Time Actual]]</f>
        <v>440</v>
      </c>
      <c r="Q19" t="s">
        <v>21</v>
      </c>
      <c r="R19" s="2" t="str">
        <f>VLOOKUP(A:A,Vlookup!A:B,2,0)</f>
        <v>NB</v>
      </c>
    </row>
    <row r="20" spans="1:18" ht="15.85" customHeight="1" x14ac:dyDescent="0.3">
      <c r="A20" t="s">
        <v>26</v>
      </c>
      <c r="B20" s="1">
        <v>45497</v>
      </c>
      <c r="C20" s="1">
        <v>45505</v>
      </c>
      <c r="D20" t="s">
        <v>29</v>
      </c>
      <c r="E20">
        <v>2024</v>
      </c>
      <c r="F20">
        <v>7</v>
      </c>
      <c r="G20">
        <v>24</v>
      </c>
      <c r="H20">
        <v>30</v>
      </c>
      <c r="I20" s="3">
        <v>6</v>
      </c>
      <c r="J20" t="s">
        <v>34</v>
      </c>
      <c r="K20" t="s">
        <v>35</v>
      </c>
      <c r="L20" t="s">
        <v>28</v>
      </c>
      <c r="M20" t="s">
        <v>78</v>
      </c>
      <c r="N20" s="3">
        <v>99.83</v>
      </c>
      <c r="O20" s="3">
        <v>110</v>
      </c>
      <c r="P20" s="3">
        <f>ApprovedTimeReport_002_202476[[#This Row],[CostRate (w/ Taxes)]]*ApprovedTimeReport_002_202476[[#This Row],[Time Actual]]</f>
        <v>660</v>
      </c>
      <c r="Q20" t="s">
        <v>21</v>
      </c>
      <c r="R20" s="2" t="str">
        <f>VLOOKUP(A:A,Vlookup!A:B,2,0)</f>
        <v>NB</v>
      </c>
    </row>
    <row r="21" spans="1:18" ht="15.85" customHeight="1" x14ac:dyDescent="0.3">
      <c r="A21" t="s">
        <v>26</v>
      </c>
      <c r="B21" s="1">
        <v>45496</v>
      </c>
      <c r="C21" s="1">
        <v>45505</v>
      </c>
      <c r="D21" t="s">
        <v>29</v>
      </c>
      <c r="E21">
        <v>2024</v>
      </c>
      <c r="F21">
        <v>7</v>
      </c>
      <c r="G21">
        <v>23</v>
      </c>
      <c r="H21">
        <v>30</v>
      </c>
      <c r="I21" s="3">
        <v>7</v>
      </c>
      <c r="J21" t="s">
        <v>34</v>
      </c>
      <c r="K21" t="s">
        <v>35</v>
      </c>
      <c r="L21" t="s">
        <v>28</v>
      </c>
      <c r="M21" t="s">
        <v>80</v>
      </c>
      <c r="N21" s="3">
        <v>99.83</v>
      </c>
      <c r="O21" s="3">
        <v>110</v>
      </c>
      <c r="P21" s="3">
        <f>ApprovedTimeReport_002_202476[[#This Row],[CostRate (w/ Taxes)]]*ApprovedTimeReport_002_202476[[#This Row],[Time Actual]]</f>
        <v>770</v>
      </c>
      <c r="Q21" t="s">
        <v>21</v>
      </c>
      <c r="R21" s="2" t="str">
        <f>VLOOKUP(A:A,Vlookup!A:B,2,0)</f>
        <v>NB</v>
      </c>
    </row>
    <row r="22" spans="1:18" ht="15.85" customHeight="1" x14ac:dyDescent="0.3">
      <c r="A22" t="s">
        <v>26</v>
      </c>
      <c r="B22" s="1">
        <v>45495</v>
      </c>
      <c r="C22" s="1">
        <v>45505</v>
      </c>
      <c r="D22" t="s">
        <v>29</v>
      </c>
      <c r="E22">
        <v>2024</v>
      </c>
      <c r="F22">
        <v>7</v>
      </c>
      <c r="G22">
        <v>22</v>
      </c>
      <c r="H22">
        <v>30</v>
      </c>
      <c r="I22" s="3">
        <v>8</v>
      </c>
      <c r="J22" t="s">
        <v>34</v>
      </c>
      <c r="K22" t="s">
        <v>35</v>
      </c>
      <c r="L22" t="s">
        <v>28</v>
      </c>
      <c r="M22" t="s">
        <v>84</v>
      </c>
      <c r="N22" s="3">
        <v>99.83</v>
      </c>
      <c r="O22" s="3">
        <v>110</v>
      </c>
      <c r="P22" s="3">
        <f>ApprovedTimeReport_002_202476[[#This Row],[CostRate (w/ Taxes)]]*ApprovedTimeReport_002_202476[[#This Row],[Time Actual]]</f>
        <v>880</v>
      </c>
      <c r="Q22" t="s">
        <v>21</v>
      </c>
      <c r="R22" s="2" t="str">
        <f>VLOOKUP(A:A,Vlookup!A:B,2,0)</f>
        <v>NB</v>
      </c>
    </row>
    <row r="23" spans="1:18" ht="15.85" customHeight="1" x14ac:dyDescent="0.3">
      <c r="A23" t="s">
        <v>26</v>
      </c>
      <c r="B23" s="1">
        <v>45492</v>
      </c>
      <c r="C23" s="1">
        <v>45505</v>
      </c>
      <c r="D23" t="s">
        <v>29</v>
      </c>
      <c r="E23">
        <v>2024</v>
      </c>
      <c r="F23">
        <v>7</v>
      </c>
      <c r="G23">
        <v>19</v>
      </c>
      <c r="H23">
        <v>29</v>
      </c>
      <c r="I23" s="3">
        <v>8</v>
      </c>
      <c r="J23" t="s">
        <v>34</v>
      </c>
      <c r="K23" t="s">
        <v>35</v>
      </c>
      <c r="L23" t="s">
        <v>28</v>
      </c>
      <c r="M23" t="s">
        <v>86</v>
      </c>
      <c r="N23" s="3">
        <v>99.83</v>
      </c>
      <c r="O23" s="3">
        <v>110</v>
      </c>
      <c r="P23" s="3">
        <f>ApprovedTimeReport_002_202476[[#This Row],[CostRate (w/ Taxes)]]*ApprovedTimeReport_002_202476[[#This Row],[Time Actual]]</f>
        <v>880</v>
      </c>
      <c r="Q23" t="s">
        <v>21</v>
      </c>
      <c r="R23" s="2" t="str">
        <f>VLOOKUP(A:A,Vlookup!A:B,2,0)</f>
        <v>NB</v>
      </c>
    </row>
    <row r="24" spans="1:18" ht="15.85" customHeight="1" x14ac:dyDescent="0.3">
      <c r="A24" t="s">
        <v>26</v>
      </c>
      <c r="B24" s="1">
        <v>45491</v>
      </c>
      <c r="C24" s="1">
        <v>45505</v>
      </c>
      <c r="D24" t="s">
        <v>29</v>
      </c>
      <c r="E24">
        <v>2024</v>
      </c>
      <c r="F24">
        <v>7</v>
      </c>
      <c r="G24">
        <v>18</v>
      </c>
      <c r="H24">
        <v>29</v>
      </c>
      <c r="I24" s="3">
        <v>4</v>
      </c>
      <c r="J24" t="s">
        <v>34</v>
      </c>
      <c r="K24" t="s">
        <v>35</v>
      </c>
      <c r="L24" t="s">
        <v>28</v>
      </c>
      <c r="M24" t="s">
        <v>88</v>
      </c>
      <c r="N24" s="3">
        <v>99.83</v>
      </c>
      <c r="O24" s="3">
        <v>110</v>
      </c>
      <c r="P24" s="3">
        <f>ApprovedTimeReport_002_202476[[#This Row],[CostRate (w/ Taxes)]]*ApprovedTimeReport_002_202476[[#This Row],[Time Actual]]</f>
        <v>440</v>
      </c>
      <c r="Q24" t="s">
        <v>21</v>
      </c>
      <c r="R24" s="2" t="str">
        <f>VLOOKUP(A:A,Vlookup!A:B,2,0)</f>
        <v>NB</v>
      </c>
    </row>
    <row r="25" spans="1:18" ht="15.85" customHeight="1" x14ac:dyDescent="0.3">
      <c r="A25" t="s">
        <v>26</v>
      </c>
      <c r="B25" s="1">
        <v>45490</v>
      </c>
      <c r="C25" s="1">
        <v>45505</v>
      </c>
      <c r="D25" t="s">
        <v>29</v>
      </c>
      <c r="E25">
        <v>2024</v>
      </c>
      <c r="F25">
        <v>7</v>
      </c>
      <c r="G25">
        <v>17</v>
      </c>
      <c r="H25">
        <v>29</v>
      </c>
      <c r="I25" s="3">
        <v>4</v>
      </c>
      <c r="J25" t="s">
        <v>34</v>
      </c>
      <c r="K25" t="s">
        <v>35</v>
      </c>
      <c r="L25" t="s">
        <v>28</v>
      </c>
      <c r="M25" t="s">
        <v>93</v>
      </c>
      <c r="N25" s="3">
        <v>99.83</v>
      </c>
      <c r="O25" s="3">
        <v>110</v>
      </c>
      <c r="P25" s="3">
        <f>ApprovedTimeReport_002_202476[[#This Row],[CostRate (w/ Taxes)]]*ApprovedTimeReport_002_202476[[#This Row],[Time Actual]]</f>
        <v>440</v>
      </c>
      <c r="Q25" t="s">
        <v>21</v>
      </c>
      <c r="R25" s="2" t="str">
        <f>VLOOKUP(A:A,Vlookup!A:B,2,0)</f>
        <v>NB</v>
      </c>
    </row>
    <row r="26" spans="1:18" ht="15.85" customHeight="1" x14ac:dyDescent="0.3">
      <c r="A26" t="s">
        <v>26</v>
      </c>
      <c r="B26" s="1">
        <v>45489</v>
      </c>
      <c r="C26" s="1">
        <v>45505</v>
      </c>
      <c r="D26" t="s">
        <v>29</v>
      </c>
      <c r="E26">
        <v>2024</v>
      </c>
      <c r="F26">
        <v>7</v>
      </c>
      <c r="G26">
        <v>16</v>
      </c>
      <c r="H26">
        <v>29</v>
      </c>
      <c r="I26" s="3">
        <v>5</v>
      </c>
      <c r="J26" t="s">
        <v>34</v>
      </c>
      <c r="K26" t="s">
        <v>35</v>
      </c>
      <c r="L26" t="s">
        <v>28</v>
      </c>
      <c r="M26" t="s">
        <v>100</v>
      </c>
      <c r="N26" s="3">
        <v>99.83</v>
      </c>
      <c r="O26" s="3">
        <v>110</v>
      </c>
      <c r="P26" s="3">
        <f>ApprovedTimeReport_002_202476[[#This Row],[CostRate (w/ Taxes)]]*ApprovedTimeReport_002_202476[[#This Row],[Time Actual]]</f>
        <v>550</v>
      </c>
      <c r="Q26" t="s">
        <v>21</v>
      </c>
      <c r="R26" s="2" t="str">
        <f>VLOOKUP(A:A,Vlookup!A:B,2,0)</f>
        <v>NB</v>
      </c>
    </row>
    <row r="27" spans="1:18" ht="15.85" customHeight="1" x14ac:dyDescent="0.3">
      <c r="A27" t="s">
        <v>26</v>
      </c>
      <c r="B27" s="1">
        <v>45488</v>
      </c>
      <c r="C27" s="1">
        <v>45505</v>
      </c>
      <c r="D27" t="s">
        <v>29</v>
      </c>
      <c r="E27">
        <v>2024</v>
      </c>
      <c r="F27">
        <v>7</v>
      </c>
      <c r="G27">
        <v>15</v>
      </c>
      <c r="H27">
        <v>29</v>
      </c>
      <c r="I27" s="3">
        <v>7</v>
      </c>
      <c r="J27" t="s">
        <v>34</v>
      </c>
      <c r="K27" t="s">
        <v>35</v>
      </c>
      <c r="L27" t="s">
        <v>28</v>
      </c>
      <c r="M27" t="s">
        <v>102</v>
      </c>
      <c r="N27" s="3">
        <v>99.83</v>
      </c>
      <c r="O27" s="3">
        <v>110</v>
      </c>
      <c r="P27" s="3">
        <f>ApprovedTimeReport_002_202476[[#This Row],[CostRate (w/ Taxes)]]*ApprovedTimeReport_002_202476[[#This Row],[Time Actual]]</f>
        <v>770</v>
      </c>
      <c r="Q27" t="s">
        <v>21</v>
      </c>
      <c r="R27" s="2" t="str">
        <f>VLOOKUP(A:A,Vlookup!A:B,2,0)</f>
        <v>NB</v>
      </c>
    </row>
    <row r="28" spans="1:18" ht="15.85" customHeight="1" x14ac:dyDescent="0.3">
      <c r="A28" t="s">
        <v>26</v>
      </c>
      <c r="B28" s="1">
        <v>45485</v>
      </c>
      <c r="C28" s="1">
        <v>45505</v>
      </c>
      <c r="D28" t="s">
        <v>29</v>
      </c>
      <c r="E28">
        <v>2024</v>
      </c>
      <c r="F28">
        <v>7</v>
      </c>
      <c r="G28">
        <v>12</v>
      </c>
      <c r="H28">
        <v>28</v>
      </c>
      <c r="I28" s="3">
        <v>6</v>
      </c>
      <c r="J28" t="s">
        <v>34</v>
      </c>
      <c r="K28" t="s">
        <v>35</v>
      </c>
      <c r="L28" t="s">
        <v>28</v>
      </c>
      <c r="M28" t="s">
        <v>106</v>
      </c>
      <c r="N28" s="3">
        <v>99.83</v>
      </c>
      <c r="O28" s="3">
        <v>110</v>
      </c>
      <c r="P28" s="3">
        <f>ApprovedTimeReport_002_202476[[#This Row],[CostRate (w/ Taxes)]]*ApprovedTimeReport_002_202476[[#This Row],[Time Actual]]</f>
        <v>660</v>
      </c>
      <c r="Q28" t="s">
        <v>21</v>
      </c>
      <c r="R28" s="2" t="str">
        <f>VLOOKUP(A:A,Vlookup!A:B,2,0)</f>
        <v>NB</v>
      </c>
    </row>
    <row r="29" spans="1:18" ht="15.85" customHeight="1" x14ac:dyDescent="0.3">
      <c r="A29" t="s">
        <v>26</v>
      </c>
      <c r="B29" s="1">
        <v>45484</v>
      </c>
      <c r="C29" s="1">
        <v>45505</v>
      </c>
      <c r="D29" t="s">
        <v>29</v>
      </c>
      <c r="E29">
        <v>2024</v>
      </c>
      <c r="F29">
        <v>7</v>
      </c>
      <c r="G29">
        <v>11</v>
      </c>
      <c r="H29">
        <v>28</v>
      </c>
      <c r="I29" s="3">
        <v>8</v>
      </c>
      <c r="J29" t="s">
        <v>34</v>
      </c>
      <c r="K29" t="s">
        <v>35</v>
      </c>
      <c r="L29" t="s">
        <v>28</v>
      </c>
      <c r="M29" t="s">
        <v>108</v>
      </c>
      <c r="N29" s="3">
        <v>99.83</v>
      </c>
      <c r="O29" s="3">
        <v>110</v>
      </c>
      <c r="P29" s="3">
        <f>ApprovedTimeReport_002_202476[[#This Row],[CostRate (w/ Taxes)]]*ApprovedTimeReport_002_202476[[#This Row],[Time Actual]]</f>
        <v>880</v>
      </c>
      <c r="Q29" t="s">
        <v>21</v>
      </c>
      <c r="R29" s="2" t="str">
        <f>VLOOKUP(A:A,Vlookup!A:B,2,0)</f>
        <v>NB</v>
      </c>
    </row>
    <row r="30" spans="1:18" ht="15.85" customHeight="1" x14ac:dyDescent="0.3">
      <c r="A30" t="s">
        <v>26</v>
      </c>
      <c r="B30" s="1">
        <v>45483</v>
      </c>
      <c r="C30" s="1">
        <v>45505</v>
      </c>
      <c r="D30" t="s">
        <v>29</v>
      </c>
      <c r="E30">
        <v>2024</v>
      </c>
      <c r="F30">
        <v>7</v>
      </c>
      <c r="G30">
        <v>10</v>
      </c>
      <c r="H30">
        <v>28</v>
      </c>
      <c r="I30" s="3">
        <v>8</v>
      </c>
      <c r="J30" t="s">
        <v>34</v>
      </c>
      <c r="K30" t="s">
        <v>35</v>
      </c>
      <c r="L30" t="s">
        <v>28</v>
      </c>
      <c r="M30" t="s">
        <v>110</v>
      </c>
      <c r="N30" s="3">
        <v>99.83</v>
      </c>
      <c r="O30" s="3">
        <v>110</v>
      </c>
      <c r="P30" s="3">
        <f>ApprovedTimeReport_002_202476[[#This Row],[CostRate (w/ Taxes)]]*ApprovedTimeReport_002_202476[[#This Row],[Time Actual]]</f>
        <v>880</v>
      </c>
      <c r="Q30" t="s">
        <v>21</v>
      </c>
      <c r="R30" s="2" t="str">
        <f>VLOOKUP(A:A,Vlookup!A:B,2,0)</f>
        <v>NB</v>
      </c>
    </row>
    <row r="31" spans="1:18" ht="15.85" customHeight="1" x14ac:dyDescent="0.3">
      <c r="A31" t="s">
        <v>26</v>
      </c>
      <c r="B31" s="1">
        <v>45482</v>
      </c>
      <c r="C31" s="1">
        <v>45505</v>
      </c>
      <c r="D31" t="s">
        <v>29</v>
      </c>
      <c r="E31">
        <v>2024</v>
      </c>
      <c r="F31">
        <v>7</v>
      </c>
      <c r="G31">
        <v>9</v>
      </c>
      <c r="H31">
        <v>28</v>
      </c>
      <c r="I31" s="3">
        <v>2</v>
      </c>
      <c r="J31" t="s">
        <v>34</v>
      </c>
      <c r="K31" t="s">
        <v>35</v>
      </c>
      <c r="L31" t="s">
        <v>28</v>
      </c>
      <c r="M31" t="s">
        <v>111</v>
      </c>
      <c r="N31" s="3">
        <v>99.83</v>
      </c>
      <c r="O31" s="3">
        <v>110</v>
      </c>
      <c r="P31" s="3">
        <f>ApprovedTimeReport_002_202476[[#This Row],[CostRate (w/ Taxes)]]*ApprovedTimeReport_002_202476[[#This Row],[Time Actual]]</f>
        <v>220</v>
      </c>
      <c r="Q31" t="s">
        <v>21</v>
      </c>
      <c r="R31" s="2" t="str">
        <f>VLOOKUP(A:A,Vlookup!A:B,2,0)</f>
        <v>NB</v>
      </c>
    </row>
    <row r="32" spans="1:18" ht="15.85" customHeight="1" x14ac:dyDescent="0.3">
      <c r="A32" t="s">
        <v>26</v>
      </c>
      <c r="B32" s="1">
        <v>45478</v>
      </c>
      <c r="C32" s="1">
        <v>45505</v>
      </c>
      <c r="D32" t="s">
        <v>29</v>
      </c>
      <c r="E32">
        <v>2024</v>
      </c>
      <c r="F32">
        <v>7</v>
      </c>
      <c r="G32">
        <v>5</v>
      </c>
      <c r="H32">
        <v>27</v>
      </c>
      <c r="I32" s="3">
        <v>8</v>
      </c>
      <c r="J32" t="s">
        <v>34</v>
      </c>
      <c r="K32" t="s">
        <v>35</v>
      </c>
      <c r="L32" t="s">
        <v>28</v>
      </c>
      <c r="M32" t="s">
        <v>118</v>
      </c>
      <c r="N32" s="3">
        <v>99.83</v>
      </c>
      <c r="O32" s="3">
        <v>110</v>
      </c>
      <c r="P32" s="3">
        <f>ApprovedTimeReport_002_202476[[#This Row],[CostRate (w/ Taxes)]]*ApprovedTimeReport_002_202476[[#This Row],[Time Actual]]</f>
        <v>880</v>
      </c>
      <c r="Q32" t="s">
        <v>21</v>
      </c>
      <c r="R32" s="2" t="str">
        <f>VLOOKUP(A:A,Vlookup!A:B,2,0)</f>
        <v>NB</v>
      </c>
    </row>
    <row r="33" spans="1:18" ht="15.85" customHeight="1" x14ac:dyDescent="0.3">
      <c r="A33" t="s">
        <v>26</v>
      </c>
      <c r="B33" s="1">
        <v>45477</v>
      </c>
      <c r="C33" s="1">
        <v>45505</v>
      </c>
      <c r="D33" t="s">
        <v>29</v>
      </c>
      <c r="E33">
        <v>2024</v>
      </c>
      <c r="F33">
        <v>7</v>
      </c>
      <c r="G33">
        <v>4</v>
      </c>
      <c r="H33">
        <v>27</v>
      </c>
      <c r="I33" s="3">
        <v>4</v>
      </c>
      <c r="J33" t="s">
        <v>34</v>
      </c>
      <c r="K33" t="s">
        <v>35</v>
      </c>
      <c r="L33" t="s">
        <v>28</v>
      </c>
      <c r="M33" t="s">
        <v>119</v>
      </c>
      <c r="N33" s="3">
        <v>99.83</v>
      </c>
      <c r="O33" s="3">
        <v>110</v>
      </c>
      <c r="P33" s="3">
        <f>ApprovedTimeReport_002_202476[[#This Row],[CostRate (w/ Taxes)]]*ApprovedTimeReport_002_202476[[#This Row],[Time Actual]]</f>
        <v>440</v>
      </c>
      <c r="Q33" t="s">
        <v>21</v>
      </c>
      <c r="R33" s="2" t="str">
        <f>VLOOKUP(A:A,Vlookup!A:B,2,0)</f>
        <v>NB</v>
      </c>
    </row>
    <row r="34" spans="1:18" ht="15.85" customHeight="1" x14ac:dyDescent="0.3">
      <c r="A34" t="s">
        <v>26</v>
      </c>
      <c r="B34" s="1">
        <v>45476</v>
      </c>
      <c r="C34" s="1">
        <v>45505</v>
      </c>
      <c r="D34" t="s">
        <v>29</v>
      </c>
      <c r="E34">
        <v>2024</v>
      </c>
      <c r="F34">
        <v>7</v>
      </c>
      <c r="G34">
        <v>3</v>
      </c>
      <c r="H34">
        <v>27</v>
      </c>
      <c r="I34" s="3">
        <v>5</v>
      </c>
      <c r="J34" t="s">
        <v>34</v>
      </c>
      <c r="K34" t="s">
        <v>35</v>
      </c>
      <c r="L34" t="s">
        <v>28</v>
      </c>
      <c r="M34" t="s">
        <v>125</v>
      </c>
      <c r="N34" s="3">
        <v>99.83</v>
      </c>
      <c r="O34" s="3">
        <v>110</v>
      </c>
      <c r="P34" s="3">
        <f>ApprovedTimeReport_002_202476[[#This Row],[CostRate (w/ Taxes)]]*ApprovedTimeReport_002_202476[[#This Row],[Time Actual]]</f>
        <v>550</v>
      </c>
      <c r="Q34" t="s">
        <v>21</v>
      </c>
      <c r="R34" s="2" t="str">
        <f>VLOOKUP(A:A,Vlookup!A:B,2,0)</f>
        <v>NB</v>
      </c>
    </row>
    <row r="35" spans="1:18" ht="15.85" customHeight="1" x14ac:dyDescent="0.3">
      <c r="A35" t="s">
        <v>26</v>
      </c>
      <c r="B35" s="1">
        <v>45475</v>
      </c>
      <c r="C35" s="1">
        <v>45505</v>
      </c>
      <c r="D35" t="s">
        <v>29</v>
      </c>
      <c r="E35">
        <v>2024</v>
      </c>
      <c r="F35">
        <v>7</v>
      </c>
      <c r="G35">
        <v>2</v>
      </c>
      <c r="H35">
        <v>27</v>
      </c>
      <c r="I35" s="3">
        <v>6</v>
      </c>
      <c r="J35" t="s">
        <v>34</v>
      </c>
      <c r="K35" t="s">
        <v>35</v>
      </c>
      <c r="L35" t="s">
        <v>28</v>
      </c>
      <c r="M35" t="s">
        <v>126</v>
      </c>
      <c r="N35" s="3">
        <v>99.83</v>
      </c>
      <c r="O35" s="3">
        <v>110</v>
      </c>
      <c r="P35" s="3">
        <f>ApprovedTimeReport_002_202476[[#This Row],[CostRate (w/ Taxes)]]*ApprovedTimeReport_002_202476[[#This Row],[Time Actual]]</f>
        <v>660</v>
      </c>
      <c r="Q35" t="s">
        <v>21</v>
      </c>
      <c r="R35" s="2" t="str">
        <f>VLOOKUP(A:A,Vlookup!A:B,2,0)</f>
        <v>NB</v>
      </c>
    </row>
    <row r="36" spans="1:18" ht="15.85" customHeight="1" x14ac:dyDescent="0.3">
      <c r="A36" t="s">
        <v>26</v>
      </c>
      <c r="B36" s="1">
        <v>45474</v>
      </c>
      <c r="C36" s="1">
        <v>45505</v>
      </c>
      <c r="D36" t="s">
        <v>29</v>
      </c>
      <c r="E36">
        <v>2024</v>
      </c>
      <c r="F36">
        <v>7</v>
      </c>
      <c r="G36">
        <v>1</v>
      </c>
      <c r="H36">
        <v>27</v>
      </c>
      <c r="I36" s="3">
        <v>8</v>
      </c>
      <c r="J36" t="s">
        <v>34</v>
      </c>
      <c r="K36" t="s">
        <v>35</v>
      </c>
      <c r="L36" t="s">
        <v>28</v>
      </c>
      <c r="M36" t="s">
        <v>129</v>
      </c>
      <c r="N36" s="3">
        <v>99.83</v>
      </c>
      <c r="O36" s="3">
        <v>110</v>
      </c>
      <c r="P36" s="3">
        <f>ApprovedTimeReport_002_202476[[#This Row],[CostRate (w/ Taxes)]]*ApprovedTimeReport_002_202476[[#This Row],[Time Actual]]</f>
        <v>880</v>
      </c>
      <c r="Q36" t="s">
        <v>21</v>
      </c>
      <c r="R36" s="2" t="str">
        <f>VLOOKUP(A:A,Vlookup!A:B,2,0)</f>
        <v>NB</v>
      </c>
    </row>
    <row r="37" spans="1:18" ht="15.85" customHeight="1" x14ac:dyDescent="0.3">
      <c r="A37" t="s">
        <v>59</v>
      </c>
      <c r="B37" s="1">
        <v>45503</v>
      </c>
      <c r="C37" s="1">
        <v>45505</v>
      </c>
      <c r="D37" t="s">
        <v>17</v>
      </c>
      <c r="E37">
        <v>2024</v>
      </c>
      <c r="F37">
        <v>7</v>
      </c>
      <c r="G37">
        <v>30</v>
      </c>
      <c r="H37">
        <v>31</v>
      </c>
      <c r="I37" s="3">
        <v>2</v>
      </c>
      <c r="J37" t="s">
        <v>34</v>
      </c>
      <c r="K37" t="s">
        <v>35</v>
      </c>
      <c r="L37" t="s">
        <v>36</v>
      </c>
      <c r="M37" t="s">
        <v>60</v>
      </c>
      <c r="N37" s="3">
        <v>99.83</v>
      </c>
      <c r="O37" s="3">
        <v>110</v>
      </c>
      <c r="P37" s="3">
        <f>ApprovedTimeReport_002_202476[[#This Row],[CostRate (w/ Taxes)]]*ApprovedTimeReport_002_202476[[#This Row],[Time Actual]]</f>
        <v>220</v>
      </c>
      <c r="Q37" t="s">
        <v>21</v>
      </c>
      <c r="R37" s="2" t="str">
        <f>VLOOKUP(A:A,Vlookup!A:B,2,0)</f>
        <v>NB</v>
      </c>
    </row>
    <row r="38" spans="1:18" ht="15.85" customHeight="1" x14ac:dyDescent="0.3">
      <c r="A38" t="s">
        <v>59</v>
      </c>
      <c r="B38" s="1">
        <v>45498</v>
      </c>
      <c r="C38" s="1">
        <v>45505</v>
      </c>
      <c r="D38" t="s">
        <v>17</v>
      </c>
      <c r="E38">
        <v>2024</v>
      </c>
      <c r="F38">
        <v>7</v>
      </c>
      <c r="G38">
        <v>25</v>
      </c>
      <c r="H38">
        <v>30</v>
      </c>
      <c r="I38" s="3">
        <v>2</v>
      </c>
      <c r="J38" t="s">
        <v>34</v>
      </c>
      <c r="K38" t="s">
        <v>35</v>
      </c>
      <c r="L38" t="s">
        <v>36</v>
      </c>
      <c r="M38" t="s">
        <v>75</v>
      </c>
      <c r="N38" s="3">
        <v>99.83</v>
      </c>
      <c r="O38" s="3">
        <v>110</v>
      </c>
      <c r="P38" s="3">
        <f>ApprovedTimeReport_002_202476[[#This Row],[CostRate (w/ Taxes)]]*ApprovedTimeReport_002_202476[[#This Row],[Time Actual]]</f>
        <v>220</v>
      </c>
      <c r="Q38" t="s">
        <v>21</v>
      </c>
      <c r="R38" s="2" t="str">
        <f>VLOOKUP(A:A,Vlookup!A:B,2,0)</f>
        <v>NB</v>
      </c>
    </row>
    <row r="39" spans="1:18" ht="15.85" customHeight="1" x14ac:dyDescent="0.3">
      <c r="A39" t="s">
        <v>59</v>
      </c>
      <c r="B39" s="1">
        <v>45491</v>
      </c>
      <c r="C39" s="1">
        <v>45505</v>
      </c>
      <c r="D39" t="s">
        <v>17</v>
      </c>
      <c r="E39">
        <v>2024</v>
      </c>
      <c r="F39">
        <v>7</v>
      </c>
      <c r="G39">
        <v>18</v>
      </c>
      <c r="H39">
        <v>29</v>
      </c>
      <c r="I39" s="3">
        <v>4</v>
      </c>
      <c r="J39" t="s">
        <v>34</v>
      </c>
      <c r="K39" t="s">
        <v>35</v>
      </c>
      <c r="L39" t="s">
        <v>36</v>
      </c>
      <c r="M39" t="s">
        <v>87</v>
      </c>
      <c r="N39" s="3">
        <v>99.83</v>
      </c>
      <c r="O39" s="3">
        <v>110</v>
      </c>
      <c r="P39" s="3">
        <f>ApprovedTimeReport_002_202476[[#This Row],[CostRate (w/ Taxes)]]*ApprovedTimeReport_002_202476[[#This Row],[Time Actual]]</f>
        <v>440</v>
      </c>
      <c r="Q39" t="s">
        <v>21</v>
      </c>
      <c r="R39" s="2" t="str">
        <f>VLOOKUP(A:A,Vlookup!A:B,2,0)</f>
        <v>NB</v>
      </c>
    </row>
    <row r="40" spans="1:18" ht="15.85" customHeight="1" x14ac:dyDescent="0.3">
      <c r="A40" t="s">
        <v>59</v>
      </c>
      <c r="B40" s="1">
        <v>45481</v>
      </c>
      <c r="C40" s="1">
        <v>45505</v>
      </c>
      <c r="D40" t="s">
        <v>17</v>
      </c>
      <c r="E40">
        <v>2024</v>
      </c>
      <c r="F40">
        <v>7</v>
      </c>
      <c r="G40">
        <v>8</v>
      </c>
      <c r="H40">
        <v>28</v>
      </c>
      <c r="I40" s="3">
        <v>2</v>
      </c>
      <c r="J40" t="s">
        <v>34</v>
      </c>
      <c r="K40" t="s">
        <v>35</v>
      </c>
      <c r="L40" t="s">
        <v>36</v>
      </c>
      <c r="M40" t="s">
        <v>116</v>
      </c>
      <c r="N40" s="3">
        <v>99.83</v>
      </c>
      <c r="O40" s="3">
        <v>110</v>
      </c>
      <c r="P40" s="3">
        <f>ApprovedTimeReport_002_202476[[#This Row],[CostRate (w/ Taxes)]]*ApprovedTimeReport_002_202476[[#This Row],[Time Actual]]</f>
        <v>220</v>
      </c>
      <c r="Q40" t="s">
        <v>21</v>
      </c>
      <c r="R40" s="2" t="str">
        <f>VLOOKUP(A:A,Vlookup!A:B,2,0)</f>
        <v>NB</v>
      </c>
    </row>
    <row r="41" spans="1:18" ht="15.85" customHeight="1" x14ac:dyDescent="0.3">
      <c r="A41" t="s">
        <v>59</v>
      </c>
      <c r="B41" s="1">
        <v>45477</v>
      </c>
      <c r="C41" s="1">
        <v>45505</v>
      </c>
      <c r="D41" t="s">
        <v>17</v>
      </c>
      <c r="E41">
        <v>2024</v>
      </c>
      <c r="F41">
        <v>7</v>
      </c>
      <c r="G41">
        <v>4</v>
      </c>
      <c r="H41">
        <v>27</v>
      </c>
      <c r="I41" s="3">
        <v>2</v>
      </c>
      <c r="J41" t="s">
        <v>34</v>
      </c>
      <c r="K41" t="s">
        <v>35</v>
      </c>
      <c r="L41" t="s">
        <v>36</v>
      </c>
      <c r="M41" t="s">
        <v>121</v>
      </c>
      <c r="N41" s="3">
        <v>99.83</v>
      </c>
      <c r="O41" s="3">
        <v>110</v>
      </c>
      <c r="P41" s="3">
        <f>ApprovedTimeReport_002_202476[[#This Row],[CostRate (w/ Taxes)]]*ApprovedTimeReport_002_202476[[#This Row],[Time Actual]]</f>
        <v>220</v>
      </c>
      <c r="Q41" t="s">
        <v>21</v>
      </c>
      <c r="R41" s="2" t="str">
        <f>VLOOKUP(A:A,Vlookup!A:B,2,0)</f>
        <v>NB</v>
      </c>
    </row>
    <row r="42" spans="1:18" ht="15.85" customHeight="1" x14ac:dyDescent="0.3">
      <c r="A42" t="s">
        <v>55</v>
      </c>
      <c r="B42" s="1">
        <v>45498</v>
      </c>
      <c r="C42" s="1">
        <v>45505</v>
      </c>
      <c r="D42" t="s">
        <v>17</v>
      </c>
      <c r="E42">
        <v>2024</v>
      </c>
      <c r="F42">
        <v>7</v>
      </c>
      <c r="G42">
        <v>25</v>
      </c>
      <c r="H42">
        <v>30</v>
      </c>
      <c r="I42" s="3">
        <v>2</v>
      </c>
      <c r="J42" t="s">
        <v>34</v>
      </c>
      <c r="K42" t="s">
        <v>35</v>
      </c>
      <c r="L42" t="s">
        <v>36</v>
      </c>
      <c r="M42" t="s">
        <v>74</v>
      </c>
      <c r="N42" s="3">
        <v>99.83</v>
      </c>
      <c r="O42" s="3">
        <v>110</v>
      </c>
      <c r="P42" s="3">
        <f>ApprovedTimeReport_002_202476[[#This Row],[CostRate (w/ Taxes)]]*ApprovedTimeReport_002_202476[[#This Row],[Time Actual]]</f>
        <v>220</v>
      </c>
      <c r="Q42" t="s">
        <v>21</v>
      </c>
      <c r="R42" s="2" t="str">
        <f>VLOOKUP(A:A,Vlookup!A:B,2,0)</f>
        <v>NB</v>
      </c>
    </row>
    <row r="43" spans="1:18" ht="15.85" customHeight="1" x14ac:dyDescent="0.3">
      <c r="A43" t="s">
        <v>55</v>
      </c>
      <c r="B43" s="1">
        <v>45481</v>
      </c>
      <c r="C43" s="1">
        <v>45505</v>
      </c>
      <c r="D43" t="s">
        <v>17</v>
      </c>
      <c r="E43">
        <v>2024</v>
      </c>
      <c r="F43">
        <v>7</v>
      </c>
      <c r="G43">
        <v>8</v>
      </c>
      <c r="H43">
        <v>28</v>
      </c>
      <c r="I43" s="3">
        <v>2</v>
      </c>
      <c r="J43" t="s">
        <v>34</v>
      </c>
      <c r="K43" t="s">
        <v>35</v>
      </c>
      <c r="L43" t="s">
        <v>36</v>
      </c>
      <c r="M43" t="s">
        <v>115</v>
      </c>
      <c r="N43" s="3">
        <v>99.83</v>
      </c>
      <c r="O43" s="3">
        <v>110</v>
      </c>
      <c r="P43" s="3">
        <f>ApprovedTimeReport_002_202476[[#This Row],[CostRate (w/ Taxes)]]*ApprovedTimeReport_002_202476[[#This Row],[Time Actual]]</f>
        <v>220</v>
      </c>
      <c r="Q43" t="s">
        <v>21</v>
      </c>
      <c r="R43" s="2" t="str">
        <f>VLOOKUP(A:A,Vlookup!A:B,2,0)</f>
        <v>NB</v>
      </c>
    </row>
    <row r="44" spans="1:18" ht="15.85" customHeight="1" x14ac:dyDescent="0.3">
      <c r="A44" t="s">
        <v>112</v>
      </c>
      <c r="B44" s="1">
        <v>45482</v>
      </c>
      <c r="C44" s="1">
        <v>45505</v>
      </c>
      <c r="D44" t="s">
        <v>17</v>
      </c>
      <c r="E44">
        <v>2024</v>
      </c>
      <c r="F44">
        <v>7</v>
      </c>
      <c r="G44">
        <v>9</v>
      </c>
      <c r="H44">
        <v>28</v>
      </c>
      <c r="I44" s="3">
        <v>6</v>
      </c>
      <c r="J44" t="s">
        <v>34</v>
      </c>
      <c r="K44" t="s">
        <v>35</v>
      </c>
      <c r="L44" t="s">
        <v>36</v>
      </c>
      <c r="M44" t="s">
        <v>113</v>
      </c>
      <c r="N44" s="3">
        <v>157</v>
      </c>
      <c r="O44" s="3">
        <f>ApprovedTimeReport_002_202476[[#This Row],[CostRate]]/0.9075</f>
        <v>173.00275482093664</v>
      </c>
      <c r="P44" s="3">
        <f>ApprovedTimeReport_002_202476[[#This Row],[CostRate (w/ Taxes)]]*ApprovedTimeReport_002_202476[[#This Row],[Time Actual]]</f>
        <v>1038.0165289256199</v>
      </c>
      <c r="Q44" t="s">
        <v>21</v>
      </c>
      <c r="R44" s="2" t="str">
        <f>VLOOKUP(A:A,Vlookup!A:B,2,0)</f>
        <v>NB</v>
      </c>
    </row>
    <row r="45" spans="1:18" ht="15.85" customHeight="1" x14ac:dyDescent="0.3">
      <c r="A45" t="s">
        <v>112</v>
      </c>
      <c r="B45" s="1">
        <v>45481</v>
      </c>
      <c r="C45" s="1">
        <v>45505</v>
      </c>
      <c r="D45" t="s">
        <v>17</v>
      </c>
      <c r="E45">
        <v>2024</v>
      </c>
      <c r="F45">
        <v>7</v>
      </c>
      <c r="G45">
        <v>8</v>
      </c>
      <c r="H45">
        <v>28</v>
      </c>
      <c r="I45" s="3">
        <v>4</v>
      </c>
      <c r="J45" t="s">
        <v>34</v>
      </c>
      <c r="K45" t="s">
        <v>35</v>
      </c>
      <c r="L45" t="s">
        <v>36</v>
      </c>
      <c r="M45" t="s">
        <v>114</v>
      </c>
      <c r="N45" s="3">
        <v>157</v>
      </c>
      <c r="O45" s="3">
        <f>ApprovedTimeReport_002_202476[[#This Row],[CostRate]]/0.9075</f>
        <v>173.00275482093664</v>
      </c>
      <c r="P45" s="3">
        <f>ApprovedTimeReport_002_202476[[#This Row],[CostRate (w/ Taxes)]]*ApprovedTimeReport_002_202476[[#This Row],[Time Actual]]</f>
        <v>692.01101928374658</v>
      </c>
      <c r="Q45" t="s">
        <v>21</v>
      </c>
      <c r="R45" s="2" t="str">
        <f>VLOOKUP(A:A,Vlookup!A:B,2,0)</f>
        <v>NB</v>
      </c>
    </row>
    <row r="46" spans="1:18" ht="15.85" customHeight="1" x14ac:dyDescent="0.3">
      <c r="A46" t="s">
        <v>31</v>
      </c>
      <c r="B46" s="1">
        <v>45490</v>
      </c>
      <c r="C46" s="1">
        <v>45505</v>
      </c>
      <c r="D46" t="s">
        <v>17</v>
      </c>
      <c r="E46">
        <v>2024</v>
      </c>
      <c r="F46">
        <v>7</v>
      </c>
      <c r="G46">
        <v>17</v>
      </c>
      <c r="H46">
        <v>29</v>
      </c>
      <c r="I46" s="3">
        <v>2</v>
      </c>
      <c r="J46" t="s">
        <v>34</v>
      </c>
      <c r="K46" t="s">
        <v>35</v>
      </c>
      <c r="L46" t="s">
        <v>28</v>
      </c>
      <c r="M46" t="s">
        <v>91</v>
      </c>
      <c r="N46" s="3">
        <v>86.43</v>
      </c>
      <c r="O46" s="3">
        <f>ApprovedTimeReport_002_202476[[#This Row],[CostRate]]/0.9075</f>
        <v>95.239669421487619</v>
      </c>
      <c r="P46" s="3">
        <f>ApprovedTimeReport_002_202476[[#This Row],[CostRate (w/ Taxes)]]*ApprovedTimeReport_002_202476[[#This Row],[Time Actual]]</f>
        <v>190.47933884297524</v>
      </c>
      <c r="Q46" t="s">
        <v>21</v>
      </c>
      <c r="R46" s="2" t="str">
        <f>VLOOKUP(A:A,Vlookup!A:B,2,0)</f>
        <v>NB</v>
      </c>
    </row>
    <row r="47" spans="1:18" ht="15.85" customHeight="1" x14ac:dyDescent="0.3">
      <c r="A47" t="s">
        <v>31</v>
      </c>
      <c r="B47" s="1">
        <v>45489</v>
      </c>
      <c r="C47" s="1">
        <v>45505</v>
      </c>
      <c r="D47" t="s">
        <v>17</v>
      </c>
      <c r="E47">
        <v>2024</v>
      </c>
      <c r="F47">
        <v>7</v>
      </c>
      <c r="G47">
        <v>16</v>
      </c>
      <c r="H47">
        <v>29</v>
      </c>
      <c r="I47" s="3">
        <v>2</v>
      </c>
      <c r="J47" t="s">
        <v>34</v>
      </c>
      <c r="K47" t="s">
        <v>35</v>
      </c>
      <c r="L47" t="s">
        <v>28</v>
      </c>
      <c r="M47" t="s">
        <v>101</v>
      </c>
      <c r="N47" s="3">
        <v>86.43</v>
      </c>
      <c r="O47" s="3">
        <f>ApprovedTimeReport_002_202476[[#This Row],[CostRate]]/0.9075</f>
        <v>95.239669421487619</v>
      </c>
      <c r="P47" s="3">
        <f>ApprovedTimeReport_002_202476[[#This Row],[CostRate (w/ Taxes)]]*ApprovedTimeReport_002_202476[[#This Row],[Time Actual]]</f>
        <v>190.47933884297524</v>
      </c>
      <c r="Q47" t="s">
        <v>21</v>
      </c>
      <c r="R47" s="2" t="str">
        <f>VLOOKUP(A:A,Vlookup!A:B,2,0)</f>
        <v>NB</v>
      </c>
    </row>
    <row r="48" spans="1:18" x14ac:dyDescent="0.3">
      <c r="B48" s="1"/>
      <c r="C48" s="1"/>
      <c r="R48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629F-5C78-43AB-82E5-AB674E52BDC4}">
  <dimension ref="A1:B88"/>
  <sheetViews>
    <sheetView topLeftCell="A51" workbookViewId="0">
      <selection activeCell="B88" sqref="B88"/>
    </sheetView>
  </sheetViews>
  <sheetFormatPr defaultRowHeight="15.05" x14ac:dyDescent="0.3"/>
  <cols>
    <col min="1" max="1" width="22.33203125" bestFit="1" customWidth="1"/>
    <col min="2" max="2" width="11.109375" bestFit="1" customWidth="1"/>
  </cols>
  <sheetData>
    <row r="1" spans="1:2" x14ac:dyDescent="0.3">
      <c r="A1" t="s">
        <v>0</v>
      </c>
      <c r="B1" t="s">
        <v>133</v>
      </c>
    </row>
    <row r="2" spans="1:2" x14ac:dyDescent="0.3">
      <c r="A2" t="s">
        <v>94</v>
      </c>
      <c r="B2" t="s">
        <v>134</v>
      </c>
    </row>
    <row r="3" spans="1:2" x14ac:dyDescent="0.3">
      <c r="A3" t="s">
        <v>90</v>
      </c>
      <c r="B3" t="s">
        <v>134</v>
      </c>
    </row>
    <row r="4" spans="1:2" x14ac:dyDescent="0.3">
      <c r="A4" t="s">
        <v>135</v>
      </c>
      <c r="B4" t="s">
        <v>134</v>
      </c>
    </row>
    <row r="5" spans="1:2" x14ac:dyDescent="0.3">
      <c r="A5" t="s">
        <v>136</v>
      </c>
      <c r="B5" t="s">
        <v>134</v>
      </c>
    </row>
    <row r="6" spans="1:2" x14ac:dyDescent="0.3">
      <c r="A6" t="s">
        <v>130</v>
      </c>
      <c r="B6" t="s">
        <v>137</v>
      </c>
    </row>
    <row r="7" spans="1:2" x14ac:dyDescent="0.3">
      <c r="A7" t="s">
        <v>138</v>
      </c>
      <c r="B7" t="s">
        <v>134</v>
      </c>
    </row>
    <row r="8" spans="1:2" x14ac:dyDescent="0.3">
      <c r="A8" t="s">
        <v>48</v>
      </c>
      <c r="B8" t="s">
        <v>134</v>
      </c>
    </row>
    <row r="9" spans="1:2" x14ac:dyDescent="0.3">
      <c r="A9" t="s">
        <v>15</v>
      </c>
      <c r="B9" t="s">
        <v>134</v>
      </c>
    </row>
    <row r="10" spans="1:2" x14ac:dyDescent="0.3">
      <c r="A10" t="s">
        <v>51</v>
      </c>
      <c r="B10" t="s">
        <v>139</v>
      </c>
    </row>
    <row r="11" spans="1:2" x14ac:dyDescent="0.3">
      <c r="A11" t="s">
        <v>107</v>
      </c>
      <c r="B11" t="s">
        <v>139</v>
      </c>
    </row>
    <row r="12" spans="1:2" x14ac:dyDescent="0.3">
      <c r="A12" t="s">
        <v>50</v>
      </c>
      <c r="B12" t="s">
        <v>139</v>
      </c>
    </row>
    <row r="13" spans="1:2" x14ac:dyDescent="0.3">
      <c r="A13" t="s">
        <v>140</v>
      </c>
      <c r="B13" t="s">
        <v>134</v>
      </c>
    </row>
    <row r="14" spans="1:2" x14ac:dyDescent="0.3">
      <c r="A14" t="s">
        <v>27</v>
      </c>
      <c r="B14" t="s">
        <v>134</v>
      </c>
    </row>
    <row r="15" spans="1:2" x14ac:dyDescent="0.3">
      <c r="A15" t="s">
        <v>71</v>
      </c>
      <c r="B15" t="s">
        <v>134</v>
      </c>
    </row>
    <row r="16" spans="1:2" x14ac:dyDescent="0.3">
      <c r="A16" t="s">
        <v>46</v>
      </c>
      <c r="B16" t="s">
        <v>139</v>
      </c>
    </row>
    <row r="17" spans="1:2" x14ac:dyDescent="0.3">
      <c r="A17" t="s">
        <v>62</v>
      </c>
      <c r="B17" t="s">
        <v>134</v>
      </c>
    </row>
    <row r="18" spans="1:2" x14ac:dyDescent="0.3">
      <c r="A18" t="s">
        <v>47</v>
      </c>
      <c r="B18" t="s">
        <v>134</v>
      </c>
    </row>
    <row r="19" spans="1:2" x14ac:dyDescent="0.3">
      <c r="A19" t="s">
        <v>18</v>
      </c>
      <c r="B19" t="s">
        <v>134</v>
      </c>
    </row>
    <row r="20" spans="1:2" x14ac:dyDescent="0.3">
      <c r="A20" t="s">
        <v>103</v>
      </c>
      <c r="B20" t="s">
        <v>139</v>
      </c>
    </row>
    <row r="21" spans="1:2" x14ac:dyDescent="0.3">
      <c r="A21" t="s">
        <v>141</v>
      </c>
      <c r="B21" t="s">
        <v>134</v>
      </c>
    </row>
    <row r="22" spans="1:2" x14ac:dyDescent="0.3">
      <c r="A22" t="s">
        <v>109</v>
      </c>
      <c r="B22" t="s">
        <v>139</v>
      </c>
    </row>
    <row r="23" spans="1:2" x14ac:dyDescent="0.3">
      <c r="A23" t="s">
        <v>142</v>
      </c>
      <c r="B23" t="s">
        <v>139</v>
      </c>
    </row>
    <row r="24" spans="1:2" x14ac:dyDescent="0.3">
      <c r="A24" t="s">
        <v>143</v>
      </c>
      <c r="B24" t="s">
        <v>139</v>
      </c>
    </row>
    <row r="25" spans="1:2" x14ac:dyDescent="0.3">
      <c r="A25" t="s">
        <v>144</v>
      </c>
      <c r="B25" t="s">
        <v>134</v>
      </c>
    </row>
    <row r="26" spans="1:2" x14ac:dyDescent="0.3">
      <c r="A26" t="s">
        <v>145</v>
      </c>
      <c r="B26" t="s">
        <v>139</v>
      </c>
    </row>
    <row r="27" spans="1:2" x14ac:dyDescent="0.3">
      <c r="A27" t="s">
        <v>33</v>
      </c>
      <c r="B27" t="s">
        <v>134</v>
      </c>
    </row>
    <row r="28" spans="1:2" x14ac:dyDescent="0.3">
      <c r="A28" t="s">
        <v>22</v>
      </c>
      <c r="B28" t="s">
        <v>139</v>
      </c>
    </row>
    <row r="29" spans="1:2" x14ac:dyDescent="0.3">
      <c r="A29" t="s">
        <v>52</v>
      </c>
      <c r="B29" t="s">
        <v>139</v>
      </c>
    </row>
    <row r="30" spans="1:2" x14ac:dyDescent="0.3">
      <c r="A30" t="s">
        <v>146</v>
      </c>
      <c r="B30" t="s">
        <v>134</v>
      </c>
    </row>
    <row r="31" spans="1:2" x14ac:dyDescent="0.3">
      <c r="A31" t="s">
        <v>147</v>
      </c>
      <c r="B31" t="s">
        <v>139</v>
      </c>
    </row>
    <row r="32" spans="1:2" x14ac:dyDescent="0.3">
      <c r="A32" t="s">
        <v>148</v>
      </c>
      <c r="B32" t="s">
        <v>139</v>
      </c>
    </row>
    <row r="33" spans="1:2" x14ac:dyDescent="0.3">
      <c r="A33" t="s">
        <v>149</v>
      </c>
      <c r="B33" t="s">
        <v>139</v>
      </c>
    </row>
    <row r="34" spans="1:2" x14ac:dyDescent="0.3">
      <c r="A34" t="s">
        <v>61</v>
      </c>
      <c r="B34" t="s">
        <v>134</v>
      </c>
    </row>
    <row r="35" spans="1:2" x14ac:dyDescent="0.3">
      <c r="A35" t="s">
        <v>150</v>
      </c>
      <c r="B35" t="s">
        <v>139</v>
      </c>
    </row>
    <row r="36" spans="1:2" x14ac:dyDescent="0.3">
      <c r="A36" t="s">
        <v>45</v>
      </c>
      <c r="B36" t="s">
        <v>139</v>
      </c>
    </row>
    <row r="37" spans="1:2" x14ac:dyDescent="0.3">
      <c r="A37" t="s">
        <v>73</v>
      </c>
      <c r="B37" t="s">
        <v>137</v>
      </c>
    </row>
    <row r="38" spans="1:2" x14ac:dyDescent="0.3">
      <c r="A38" t="s">
        <v>151</v>
      </c>
      <c r="B38" t="s">
        <v>137</v>
      </c>
    </row>
    <row r="39" spans="1:2" x14ac:dyDescent="0.3">
      <c r="A39" t="s">
        <v>26</v>
      </c>
      <c r="B39" t="s">
        <v>137</v>
      </c>
    </row>
    <row r="40" spans="1:2" x14ac:dyDescent="0.3">
      <c r="A40" t="s">
        <v>85</v>
      </c>
      <c r="B40" t="s">
        <v>137</v>
      </c>
    </row>
    <row r="41" spans="1:2" x14ac:dyDescent="0.3">
      <c r="A41" t="s">
        <v>96</v>
      </c>
      <c r="B41" t="s">
        <v>137</v>
      </c>
    </row>
    <row r="42" spans="1:2" x14ac:dyDescent="0.3">
      <c r="A42" t="s">
        <v>152</v>
      </c>
      <c r="B42" t="s">
        <v>137</v>
      </c>
    </row>
    <row r="43" spans="1:2" x14ac:dyDescent="0.3">
      <c r="A43" t="s">
        <v>53</v>
      </c>
      <c r="B43" t="s">
        <v>137</v>
      </c>
    </row>
    <row r="44" spans="1:2" x14ac:dyDescent="0.3">
      <c r="A44" t="s">
        <v>68</v>
      </c>
      <c r="B44" t="s">
        <v>137</v>
      </c>
    </row>
    <row r="45" spans="1:2" x14ac:dyDescent="0.3">
      <c r="A45" t="s">
        <v>30</v>
      </c>
      <c r="B45" t="s">
        <v>137</v>
      </c>
    </row>
    <row r="46" spans="1:2" x14ac:dyDescent="0.3">
      <c r="A46" t="s">
        <v>31</v>
      </c>
      <c r="B46" t="s">
        <v>137</v>
      </c>
    </row>
    <row r="47" spans="1:2" x14ac:dyDescent="0.3">
      <c r="A47" t="s">
        <v>25</v>
      </c>
      <c r="B47" t="s">
        <v>137</v>
      </c>
    </row>
    <row r="48" spans="1:2" x14ac:dyDescent="0.3">
      <c r="A48" t="s">
        <v>153</v>
      </c>
      <c r="B48" t="s">
        <v>137</v>
      </c>
    </row>
    <row r="49" spans="1:2" x14ac:dyDescent="0.3">
      <c r="A49" t="s">
        <v>54</v>
      </c>
      <c r="B49" t="s">
        <v>137</v>
      </c>
    </row>
    <row r="50" spans="1:2" x14ac:dyDescent="0.3">
      <c r="A50" t="s">
        <v>56</v>
      </c>
      <c r="B50" t="s">
        <v>137</v>
      </c>
    </row>
    <row r="51" spans="1:2" x14ac:dyDescent="0.3">
      <c r="A51" t="s">
        <v>58</v>
      </c>
      <c r="B51" t="s">
        <v>137</v>
      </c>
    </row>
    <row r="52" spans="1:2" x14ac:dyDescent="0.3">
      <c r="A52" t="s">
        <v>67</v>
      </c>
      <c r="B52" t="s">
        <v>134</v>
      </c>
    </row>
    <row r="53" spans="1:2" x14ac:dyDescent="0.3">
      <c r="A53" t="s">
        <v>49</v>
      </c>
      <c r="B53" t="s">
        <v>139</v>
      </c>
    </row>
    <row r="54" spans="1:2" x14ac:dyDescent="0.3">
      <c r="A54" t="s">
        <v>154</v>
      </c>
      <c r="B54" t="s">
        <v>134</v>
      </c>
    </row>
    <row r="55" spans="1:2" x14ac:dyDescent="0.3">
      <c r="A55" t="s">
        <v>155</v>
      </c>
      <c r="B55" t="s">
        <v>139</v>
      </c>
    </row>
    <row r="56" spans="1:2" x14ac:dyDescent="0.3">
      <c r="A56" t="s">
        <v>97</v>
      </c>
      <c r="B56" t="s">
        <v>134</v>
      </c>
    </row>
    <row r="57" spans="1:2" x14ac:dyDescent="0.3">
      <c r="A57" t="s">
        <v>44</v>
      </c>
      <c r="B57" t="s">
        <v>139</v>
      </c>
    </row>
    <row r="58" spans="1:2" x14ac:dyDescent="0.3">
      <c r="A58" t="s">
        <v>63</v>
      </c>
      <c r="B58" t="s">
        <v>139</v>
      </c>
    </row>
    <row r="59" spans="1:2" x14ac:dyDescent="0.3">
      <c r="A59" t="s">
        <v>156</v>
      </c>
      <c r="B59" t="s">
        <v>139</v>
      </c>
    </row>
    <row r="60" spans="1:2" x14ac:dyDescent="0.3">
      <c r="A60" t="s">
        <v>157</v>
      </c>
      <c r="B60" t="s">
        <v>139</v>
      </c>
    </row>
    <row r="61" spans="1:2" x14ac:dyDescent="0.3">
      <c r="A61" t="s">
        <v>158</v>
      </c>
      <c r="B61" t="s">
        <v>139</v>
      </c>
    </row>
    <row r="62" spans="1:2" x14ac:dyDescent="0.3">
      <c r="A62" t="s">
        <v>159</v>
      </c>
      <c r="B62" t="s">
        <v>137</v>
      </c>
    </row>
    <row r="63" spans="1:2" x14ac:dyDescent="0.3">
      <c r="A63" t="s">
        <v>59</v>
      </c>
      <c r="B63" t="s">
        <v>137</v>
      </c>
    </row>
    <row r="64" spans="1:2" x14ac:dyDescent="0.3">
      <c r="A64" t="s">
        <v>55</v>
      </c>
      <c r="B64" t="s">
        <v>137</v>
      </c>
    </row>
    <row r="65" spans="1:2" x14ac:dyDescent="0.3">
      <c r="A65" t="s">
        <v>112</v>
      </c>
      <c r="B65" t="s">
        <v>137</v>
      </c>
    </row>
    <row r="66" spans="1:2" x14ac:dyDescent="0.3">
      <c r="A66" t="s">
        <v>20</v>
      </c>
      <c r="B66" t="s">
        <v>137</v>
      </c>
    </row>
    <row r="67" spans="1:2" x14ac:dyDescent="0.3">
      <c r="A67" t="s">
        <v>160</v>
      </c>
      <c r="B67" t="s">
        <v>139</v>
      </c>
    </row>
    <row r="68" spans="1:2" x14ac:dyDescent="0.3">
      <c r="A68" t="s">
        <v>42</v>
      </c>
      <c r="B68" t="s">
        <v>139</v>
      </c>
    </row>
    <row r="69" spans="1:2" x14ac:dyDescent="0.3">
      <c r="A69" t="s">
        <v>23</v>
      </c>
      <c r="B69" t="s">
        <v>134</v>
      </c>
    </row>
    <row r="70" spans="1:2" x14ac:dyDescent="0.3">
      <c r="A70" t="s">
        <v>117</v>
      </c>
      <c r="B70" t="s">
        <v>134</v>
      </c>
    </row>
    <row r="71" spans="1:2" x14ac:dyDescent="0.3">
      <c r="A71" t="s">
        <v>161</v>
      </c>
      <c r="B71" t="s">
        <v>139</v>
      </c>
    </row>
    <row r="72" spans="1:2" x14ac:dyDescent="0.3">
      <c r="A72" t="s">
        <v>162</v>
      </c>
      <c r="B72" t="s">
        <v>139</v>
      </c>
    </row>
    <row r="73" spans="1:2" x14ac:dyDescent="0.3">
      <c r="A73" t="s">
        <v>163</v>
      </c>
      <c r="B73" t="s">
        <v>139</v>
      </c>
    </row>
    <row r="74" spans="1:2" x14ac:dyDescent="0.3">
      <c r="A74" t="s">
        <v>81</v>
      </c>
      <c r="B74" t="s">
        <v>139</v>
      </c>
    </row>
    <row r="75" spans="1:2" x14ac:dyDescent="0.3">
      <c r="A75" t="s">
        <v>164</v>
      </c>
      <c r="B75" t="s">
        <v>139</v>
      </c>
    </row>
    <row r="76" spans="1:2" x14ac:dyDescent="0.3">
      <c r="A76" t="s">
        <v>72</v>
      </c>
      <c r="B76" t="s">
        <v>139</v>
      </c>
    </row>
    <row r="77" spans="1:2" x14ac:dyDescent="0.3">
      <c r="A77" t="s">
        <v>95</v>
      </c>
      <c r="B77" t="s">
        <v>137</v>
      </c>
    </row>
    <row r="78" spans="1:2" x14ac:dyDescent="0.3">
      <c r="A78" t="s">
        <v>70</v>
      </c>
      <c r="B78" t="s">
        <v>134</v>
      </c>
    </row>
    <row r="79" spans="1:2" x14ac:dyDescent="0.3">
      <c r="A79" t="s">
        <v>104</v>
      </c>
      <c r="B79" t="s">
        <v>139</v>
      </c>
    </row>
    <row r="80" spans="1:2" x14ac:dyDescent="0.3">
      <c r="A80" t="s">
        <v>165</v>
      </c>
      <c r="B80" t="s">
        <v>139</v>
      </c>
    </row>
    <row r="81" spans="1:2" x14ac:dyDescent="0.3">
      <c r="A81" t="s">
        <v>43</v>
      </c>
      <c r="B81" t="s">
        <v>134</v>
      </c>
    </row>
    <row r="82" spans="1:2" x14ac:dyDescent="0.3">
      <c r="A82" t="s">
        <v>64</v>
      </c>
      <c r="B82" t="s">
        <v>134</v>
      </c>
    </row>
    <row r="83" spans="1:2" x14ac:dyDescent="0.3">
      <c r="A83" t="s">
        <v>166</v>
      </c>
      <c r="B83" t="s">
        <v>139</v>
      </c>
    </row>
    <row r="84" spans="1:2" x14ac:dyDescent="0.3">
      <c r="A84" t="s">
        <v>79</v>
      </c>
      <c r="B84" t="s">
        <v>137</v>
      </c>
    </row>
    <row r="85" spans="1:2" x14ac:dyDescent="0.3">
      <c r="A85" t="s">
        <v>98</v>
      </c>
      <c r="B85" t="s">
        <v>137</v>
      </c>
    </row>
    <row r="86" spans="1:2" x14ac:dyDescent="0.3">
      <c r="A86" t="s">
        <v>57</v>
      </c>
      <c r="B86" t="s">
        <v>137</v>
      </c>
    </row>
    <row r="87" spans="1:2" x14ac:dyDescent="0.3">
      <c r="A87" t="s">
        <v>76</v>
      </c>
      <c r="B87" t="s">
        <v>139</v>
      </c>
    </row>
    <row r="88" spans="1:2" x14ac:dyDescent="0.3">
      <c r="A88" t="s">
        <v>83</v>
      </c>
      <c r="B88" t="s">
        <v>139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1B1F50-82A5-4C1F-BD7C-639131FD26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Julho 2024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Miranda</dc:creator>
  <cp:lastModifiedBy>Beatriz Melo</cp:lastModifiedBy>
  <dcterms:created xsi:type="dcterms:W3CDTF">2024-08-06T13:12:54Z</dcterms:created>
  <dcterms:modified xsi:type="dcterms:W3CDTF">2024-08-07T14:31:30Z</dcterms:modified>
</cp:coreProperties>
</file>