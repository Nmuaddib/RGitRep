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\RGitRep\Docs\Sietch\2603\"/>
    </mc:Choice>
  </mc:AlternateContent>
  <xr:revisionPtr revIDLastSave="0" documentId="13_ncr:1_{F0F1061D-489C-4909-98C7-1B4402D82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1" r:id="rId1"/>
    <sheet name="Tabela dinâmica 1" sheetId="2" r:id="rId2"/>
    <sheet name="Lista" sheetId="3" r:id="rId3"/>
  </sheets>
  <definedNames>
    <definedName name="Tipo_Despesa">Lista!$A$1:$A$13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12" i="1" l="1"/>
  <c r="E9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<sst xmlns="http://schemas.openxmlformats.org/spreadsheetml/2006/main" count="37" uniqueCount="28">
  <si>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</si>
  <si>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</si>
  <si>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</si>
  <si>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</si>
  <si>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</si>
  <si>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</si>
  <si>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</si>
  <si>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</si>
  <si>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</si>
  <si>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</si>
  <si>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</si>
  <si>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Deslocamento São Sebastião - SP - São Sebastião - 450km</t>
  </si>
  <si>
    <t>Almoço</t>
  </si>
  <si>
    <t>SUM of Valor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</si>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</sst>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lson Simões" refreshedDate="46128.308825810185" refreshedVersion="8" recordCount="9" xr:uid="{00000000-000A-0000-FFFF-FFFF00000000}">
  <cacheSource type="worksheet">
    <worksheetSource ref="B8:E18" sheet="Expense Report Template"/>
  </cacheSource>
  <cacheFields count="4">
    <cacheField name="Data" numFmtId="14">
      <sharedItems containsNonDate="0" containsDate="1" containsString="0" containsBlank="1" minDate="2026-01-28T00:00:00" maxDate="2026-03-18T00:00:00"/>
    </cacheField>
    <cacheField name="Tipo" numFmtId="0">
      <sharedItems containsBlank="1" count="4">
        <s v="Kilometragem (R$ 1,54 por KM consumido)"/>
        <s v="Almoço"/>
        <m/>
        <s v="Kilometragem (R$ 1,15 por KM consumido)" u="1"/>
      </sharedItems>
    </cacheField>
    <cacheField name="Descrição" numFmtId="0">
      <sharedItems containsBlank="1"/>
    </cacheField>
    <cacheField name="Valor" numFmtId="0">
      <sharedItems containsString="0" containsBlank="1" containsNumber="1" minValue="32.36" maxValue="6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6-03-03T00:00:00"/>
    <x v="0"/>
    <s v="Deslocamento São Sebastião - SP - São Sebastião - 450km"/>
    <n v="693"/>
  </r>
  <r>
    <d v="2026-01-28T00:00:00"/>
    <x v="1"/>
    <m/>
    <n v="63.79"/>
  </r>
  <r>
    <d v="2026-03-17T00:00:00"/>
    <x v="0"/>
    <s v="Deslocamento São Sebastião - SP - São Sebastião - 450km"/>
    <n v="693"/>
  </r>
  <r>
    <d v="2026-03-17T00:00:00"/>
    <x v="1"/>
    <m/>
    <n v="32.36"/>
  </r>
  <r>
    <m/>
    <x v="2"/>
    <m/>
    <m/>
  </r>
  <r>
    <m/>
    <x v="2"/>
    <m/>
    <m/>
  </r>
  <r>
    <m/>
    <x v="2"/>
    <m/>
    <m/>
  </r>
  <r>
    <m/>
    <x v="2"/>
    <m/>
    <m/>
  </r>
  <r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1" cacheId="4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4">
    <pivotField name="Data" compact="0" numFmtId="14" outline="0" multipleItemSelectionAllowed="1" showAll="0"/>
    <pivotField name="Tipo" axis="axisRow" compact="0" outline="0" multipleItemSelectionAllowed="1" showAll="0" sortType="ascending">
      <items count="5">
        <item x="1"/>
        <item m="1" x="3"/>
        <item x="0"/>
        <item x="2"/>
        <item t="default"/>
      </items>
    </pivotField>
    <pivotField name="Descrição" compact="0" outline="0" multipleItemSelectionAllowed="1" showAll="0"/>
    <pivotField name="Valor" dataField="1" compact="0" numFmtId="4" outline="0" multipleItemSelectionAllowed="1" showAll="0"/>
  </pivotFields>
  <rowFields count="1">
    <field x="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Valor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G12" sqref="G12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46112</v>
      </c>
      <c r="C9" s="15" t="s">
        <v>22</v>
      </c>
      <c r="D9" s="15" t="s">
        <v>11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46112</v>
      </c>
      <c r="C10" s="15" t="s">
        <v>12</v>
      </c>
      <c r="D10" s="15"/>
      <c r="E10" s="18">
        <v>35.67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>
        <v>46112</v>
      </c>
      <c r="C11" s="15" t="s">
        <v>20</v>
      </c>
      <c r="D11" s="15"/>
      <c r="E11" s="16">
        <v>42</v>
      </c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>
        <v>46098</v>
      </c>
      <c r="C12" s="15" t="s">
        <v>22</v>
      </c>
      <c r="D12" s="15" t="s">
        <v>11</v>
      </c>
      <c r="E12" s="16">
        <f>450*1.54</f>
        <v>693</v>
      </c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>
        <v>46098</v>
      </c>
      <c r="C13" s="15" t="s">
        <v>12</v>
      </c>
      <c r="D13" s="15"/>
      <c r="E13" s="18">
        <v>47.67</v>
      </c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/>
      <c r="C14" s="15"/>
      <c r="D14" s="15"/>
      <c r="E14" s="18"/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 x14ac:dyDescent="0.3">
      <c r="A15" s="1"/>
      <c r="B15" s="14"/>
      <c r="C15" s="15"/>
      <c r="D15" s="15"/>
      <c r="E15" s="15"/>
      <c r="F15" s="19"/>
      <c r="G15" s="17"/>
    </row>
    <row r="16" spans="1:26" ht="12" customHeight="1" x14ac:dyDescent="0.3">
      <c r="A16" s="1"/>
      <c r="B16" s="14"/>
      <c r="C16" s="15"/>
      <c r="D16" s="15"/>
      <c r="E16" s="15"/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B18" s="14"/>
      <c r="C18" s="15"/>
      <c r="D18" s="15"/>
      <c r="E18" s="15"/>
      <c r="F18" s="19"/>
      <c r="G18" s="17"/>
    </row>
    <row r="19" spans="1:7" ht="12" customHeight="1" x14ac:dyDescent="0.3">
      <c r="A19" s="1"/>
      <c r="E19" s="20">
        <f>SUM(E9:E18)</f>
        <v>1511.3400000000001</v>
      </c>
      <c r="F19" s="19"/>
      <c r="G19" s="17"/>
    </row>
    <row r="20" spans="1:7" ht="12" customHeight="1" x14ac:dyDescent="0.3">
      <c r="A20" s="1"/>
      <c r="B20" s="3"/>
      <c r="C20" s="3"/>
      <c r="D20" s="3"/>
      <c r="E20" s="21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3">
      <c r="B22" s="3"/>
      <c r="C22" s="3"/>
      <c r="D22" s="22"/>
      <c r="E22" s="23"/>
      <c r="F22" s="19"/>
      <c r="G22" s="17"/>
    </row>
    <row r="23" spans="1:7" ht="12" customHeight="1" x14ac:dyDescent="0.25">
      <c r="F23" s="24"/>
      <c r="G23" s="17"/>
    </row>
    <row r="24" spans="1:7" ht="12" customHeight="1" x14ac:dyDescent="0.25">
      <c r="F24" s="24"/>
      <c r="G24" s="17"/>
    </row>
    <row r="25" spans="1:7" ht="12" customHeight="1" x14ac:dyDescent="0.3">
      <c r="F25" s="19"/>
      <c r="G25" s="17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>
      <c r="F29" s="11"/>
      <c r="G29" s="11"/>
    </row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dataValidations count="1">
    <dataValidation type="list" allowBlank="1" showErrorMessage="1" sqref="C9:C18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showGridLines="0" workbookViewId="0"/>
  </sheetViews>
  <sheetFormatPr defaultColWidth="12.6640625" defaultRowHeight="15" customHeight="1" x14ac:dyDescent="0.25"/>
  <sheetData>
    <row r="1" spans="1:2" x14ac:dyDescent="0.25">
      <c r="A1" s="28" t="s">
        <v>8</v>
      </c>
      <c r="B1" s="29" t="s">
        <v>13</v>
      </c>
    </row>
    <row r="2" spans="1:2" x14ac:dyDescent="0.25">
      <c r="A2" s="30" t="s">
        <v>12</v>
      </c>
      <c r="B2" s="33">
        <v>96.15</v>
      </c>
    </row>
    <row r="3" spans="1:2" x14ac:dyDescent="0.25">
      <c r="A3" s="31" t="s">
        <v>22</v>
      </c>
      <c r="B3" s="34">
        <v>1386</v>
      </c>
    </row>
    <row r="4" spans="1:2" x14ac:dyDescent="0.25">
      <c r="A4" s="31" t="s">
        <v>26</v>
      </c>
      <c r="B4" s="34"/>
    </row>
    <row r="5" spans="1:2" x14ac:dyDescent="0.25">
      <c r="A5" s="32" t="s">
        <v>27</v>
      </c>
      <c r="B5" s="35">
        <v>1482.15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14</v>
      </c>
    </row>
    <row r="2" spans="1:1" ht="12" customHeight="1" x14ac:dyDescent="0.25">
      <c r="A2" s="26" t="s">
        <v>15</v>
      </c>
    </row>
    <row r="3" spans="1:1" ht="12" customHeight="1" x14ac:dyDescent="0.25">
      <c r="A3" s="26" t="s">
        <v>16</v>
      </c>
    </row>
    <row r="4" spans="1:1" ht="12" customHeight="1" x14ac:dyDescent="0.25">
      <c r="A4" s="26" t="s">
        <v>17</v>
      </c>
    </row>
    <row r="5" spans="1:1" ht="12" customHeight="1" x14ac:dyDescent="0.25">
      <c r="A5" s="26" t="s">
        <v>18</v>
      </c>
    </row>
    <row r="6" spans="1:1" ht="12" customHeight="1" x14ac:dyDescent="0.25">
      <c r="A6" s="26" t="s">
        <v>19</v>
      </c>
    </row>
    <row r="7" spans="1:1" ht="12" customHeight="1" x14ac:dyDescent="0.25">
      <c r="A7" s="27" t="s">
        <v>20</v>
      </c>
    </row>
    <row r="8" spans="1:1" ht="12" customHeight="1" x14ac:dyDescent="0.25">
      <c r="A8" s="27" t="s">
        <v>21</v>
      </c>
    </row>
    <row r="9" spans="1:1" ht="12" customHeight="1" x14ac:dyDescent="0.25">
      <c r="A9" s="27" t="s">
        <v>22</v>
      </c>
    </row>
    <row r="10" spans="1:1" ht="12" customHeight="1" x14ac:dyDescent="0.25">
      <c r="A10" s="27" t="s">
        <v>23</v>
      </c>
    </row>
    <row r="11" spans="1:1" ht="12" customHeight="1" x14ac:dyDescent="0.25">
      <c r="A11" s="27" t="s">
        <v>12</v>
      </c>
    </row>
    <row r="12" spans="1:1" ht="12" customHeight="1" x14ac:dyDescent="0.25">
      <c r="A12" s="27" t="s">
        <v>24</v>
      </c>
    </row>
    <row r="13" spans="1:1" ht="12" customHeight="1" x14ac:dyDescent="0.25">
      <c r="A13" s="26" t="s">
        <v>25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Expense Report Template</vt:lpstr>
      <vt:lpstr>Tabela dinâmica 1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2026-04-16T10:28:34Z</dcterms:modified>
</cp:coreProperties>
</file>