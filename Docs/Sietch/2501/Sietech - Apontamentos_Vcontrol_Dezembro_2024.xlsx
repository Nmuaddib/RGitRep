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"/>
    </mc:Choice>
  </mc:AlternateContent>
  <xr:revisionPtr revIDLastSave="0" documentId="8_{FF3DF68B-654F-45DF-922D-F019A9E80AF0}" xr6:coauthVersionLast="47" xr6:coauthVersionMax="47" xr10:uidLastSave="{00000000-0000-0000-0000-000000000000}"/>
  <bookViews>
    <workbookView xWindow="-120" yWindow="-120" windowWidth="29040" windowHeight="15720" xr2:uid="{D40A64C5-6462-469E-978B-D8AD04DB5DE9}"/>
  </bookViews>
  <sheets>
    <sheet name="Summary" sheetId="8" r:id="rId1"/>
    <sheet name="Dezembro 2024" sheetId="6" r:id="rId2"/>
    <sheet name="Vlookup" sheetId="7" r:id="rId3"/>
  </sheets>
  <definedNames>
    <definedName name="DadosExternos_1" localSheetId="1" hidden="1">'Dezembro 2024'!$A$1:$R$43</definedName>
  </definedNames>
  <calcPr calcId="191029"/>
  <pivotCaches>
    <pivotCache cacheId="2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6" l="1"/>
  <c r="P43" i="6" s="1"/>
  <c r="R43" i="6"/>
  <c r="O2" i="6"/>
  <c r="P2" i="6" s="1"/>
  <c r="R2" i="6"/>
  <c r="O3" i="6"/>
  <c r="P3" i="6"/>
  <c r="R3" i="6"/>
  <c r="O4" i="6"/>
  <c r="P4" i="6" s="1"/>
  <c r="R4" i="6"/>
  <c r="O5" i="6"/>
  <c r="P5" i="6" s="1"/>
  <c r="R5" i="6"/>
  <c r="O6" i="6"/>
  <c r="P6" i="6" s="1"/>
  <c r="R6" i="6"/>
  <c r="O7" i="6"/>
  <c r="P7" i="6" s="1"/>
  <c r="R7" i="6"/>
  <c r="O8" i="6"/>
  <c r="P8" i="6" s="1"/>
  <c r="R8" i="6"/>
  <c r="O9" i="6"/>
  <c r="P9" i="6"/>
  <c r="R9" i="6"/>
  <c r="O10" i="6"/>
  <c r="P10" i="6" s="1"/>
  <c r="R10" i="6"/>
  <c r="O11" i="6"/>
  <c r="P11" i="6" s="1"/>
  <c r="R11" i="6"/>
  <c r="O12" i="6"/>
  <c r="P12" i="6" s="1"/>
  <c r="R12" i="6"/>
  <c r="O13" i="6"/>
  <c r="P13" i="6" s="1"/>
  <c r="R13" i="6"/>
  <c r="O14" i="6"/>
  <c r="P14" i="6" s="1"/>
  <c r="R14" i="6"/>
  <c r="O15" i="6"/>
  <c r="P15" i="6" s="1"/>
  <c r="R15" i="6"/>
  <c r="O16" i="6"/>
  <c r="P16" i="6" s="1"/>
  <c r="R16" i="6"/>
  <c r="O17" i="6"/>
  <c r="P17" i="6" s="1"/>
  <c r="R17" i="6"/>
  <c r="O18" i="6"/>
  <c r="P18" i="6" s="1"/>
  <c r="R18" i="6"/>
  <c r="O19" i="6"/>
  <c r="P19" i="6" s="1"/>
  <c r="R19" i="6"/>
  <c r="O20" i="6"/>
  <c r="P20" i="6"/>
  <c r="R20" i="6"/>
  <c r="O21" i="6"/>
  <c r="P21" i="6" s="1"/>
  <c r="R21" i="6"/>
  <c r="O22" i="6"/>
  <c r="P22" i="6" s="1"/>
  <c r="R22" i="6"/>
  <c r="O23" i="6"/>
  <c r="P23" i="6" s="1"/>
  <c r="R23" i="6"/>
  <c r="O24" i="6"/>
  <c r="P24" i="6" s="1"/>
  <c r="R24" i="6"/>
  <c r="O25" i="6"/>
  <c r="P25" i="6" s="1"/>
  <c r="R25" i="6"/>
  <c r="O26" i="6"/>
  <c r="P26" i="6" s="1"/>
  <c r="R26" i="6"/>
  <c r="O27" i="6"/>
  <c r="P27" i="6" s="1"/>
  <c r="R27" i="6"/>
  <c r="O28" i="6"/>
  <c r="P28" i="6"/>
  <c r="R28" i="6"/>
  <c r="O29" i="6"/>
  <c r="P29" i="6" s="1"/>
  <c r="R29" i="6"/>
  <c r="O30" i="6"/>
  <c r="P30" i="6" s="1"/>
  <c r="R30" i="6"/>
  <c r="O31" i="6"/>
  <c r="P31" i="6"/>
  <c r="R31" i="6"/>
  <c r="O32" i="6"/>
  <c r="P32" i="6" s="1"/>
  <c r="R32" i="6"/>
  <c r="O33" i="6"/>
  <c r="P33" i="6" s="1"/>
  <c r="R33" i="6"/>
  <c r="O34" i="6"/>
  <c r="P34" i="6" s="1"/>
  <c r="R34" i="6"/>
  <c r="O35" i="6"/>
  <c r="P35" i="6" s="1"/>
  <c r="R35" i="6"/>
  <c r="O36" i="6"/>
  <c r="P36" i="6"/>
  <c r="R36" i="6"/>
  <c r="O37" i="6"/>
  <c r="P37" i="6"/>
  <c r="R37" i="6"/>
  <c r="O38" i="6"/>
  <c r="P38" i="6" s="1"/>
  <c r="R38" i="6"/>
  <c r="O39" i="6"/>
  <c r="P39" i="6" s="1"/>
  <c r="R39" i="6"/>
  <c r="O40" i="6"/>
  <c r="P40" i="6" s="1"/>
  <c r="R40" i="6"/>
  <c r="O41" i="6"/>
  <c r="P41" i="6" s="1"/>
  <c r="R41" i="6"/>
  <c r="O42" i="6"/>
  <c r="P42" i="6" s="1"/>
  <c r="R4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D9E73-BFA2-4A32-8541-02AC18C14416}" keepAlive="1" name="Consulta - ApprovedTimeReport_000_202507" description="Conexão com a consulta 'ApprovedTimeReport_000_202507' na pasta de trabalho." type="5" refreshedVersion="0" background="1">
    <dbPr connection="Provider=Microsoft.Mashup.OleDb.1;Data Source=$Workbook$;Location=ApprovedTimeReport_000_202507;Extended Properties=&quot;&quot;" command="SELECT * FROM [ApprovedTimeReport_000_202507]"/>
  </connection>
  <connection id="2" xr16:uid="{6BEE608E-2D39-49CF-97BD-1C45AB82B416}" keepAlive="1" name="Consulta - ApprovedTimeReport_000_202508" description="Conexão com a consulta 'ApprovedTimeReport_000_202508' na pasta de trabalho." type="5" refreshedVersion="0" background="1">
    <dbPr connection="Provider=Microsoft.Mashup.OleDb.1;Data Source=$Workbook$;Location=ApprovedTimeReport_000_202508;Extended Properties=&quot;&quot;" command="SELECT * FROM [ApprovedTimeReport_000_202508]"/>
  </connection>
  <connection id="3" xr16:uid="{73B2793A-C771-49D7-8665-D8972F562325}" keepAlive="1" name="Consulta - ApprovedTimeReport_000_202508 (1)" description="Conexão com a consulta 'ApprovedTimeReport_000_202508 (1)' na pasta de trabalho." type="5" refreshedVersion="0" background="1">
    <dbPr connection="Provider=Microsoft.Mashup.OleDb.1;Data Source=$Workbook$;Location=&quot;ApprovedTimeReport_000_202508 (1)&quot;;Extended Properties=&quot;&quot;" command="SELECT * FROM [ApprovedTimeReport_000_202508 (1)]"/>
  </connection>
  <connection id="4" xr16:uid="{A12AD677-1416-4905-82E4-7C7203D0FFFD}" keepAlive="1" name="Consulta - ApprovedTimeReport_001_202507" description="Conexão com a consulta 'ApprovedTimeReport_001_202507' na pasta de trabalho." type="5" refreshedVersion="0" background="1">
    <dbPr connection="Provider=Microsoft.Mashup.OleDb.1;Data Source=$Workbook$;Location=ApprovedTimeReport_001_202507;Extended Properties=&quot;&quot;" command="SELECT * FROM [ApprovedTimeReport_001_202507]"/>
  </connection>
  <connection id="5" xr16:uid="{E6418012-9B42-4021-961B-6AD0C04E7185}" keepAlive="1" name="Consulta - ApprovedTimeReport_001_202508" description="Conexão com a consulta 'ApprovedTimeReport_001_202508' na pasta de trabalho." type="5" refreshedVersion="8" background="1" saveData="1">
    <dbPr connection="Provider=Microsoft.Mashup.OleDb.1;Data Source=$Workbook$;Location=ApprovedTimeReport_001_202508;Extended Properties=&quot;&quot;" command="SELECT * FROM [ApprovedTimeReport_001_202508]"/>
  </connection>
</connections>
</file>

<file path=xl/sharedStrings.xml><?xml version="1.0" encoding="utf-8"?>
<sst xmlns="http://schemas.openxmlformats.org/spreadsheetml/2006/main" count="606" uniqueCount="215">
  <si>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</si>
  <si>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</si>
  <si>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</si>
  <si>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</si>
  <si>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</si>
  <si>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</si>
  <si>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</si>
  <si>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</si>
  <si>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</si>
  <si>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</si>
  <si>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</si>
  <si>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</si>
  <si>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</si>
  <si>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</si>
  <si>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</si>
  <si>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151-VckTow</t>
  </si>
  <si>
    <t>SOW</t>
  </si>
  <si>
    <t>Project Manager</t>
  </si>
  <si>
    <t>NB01</t>
  </si>
  <si>
    <t>Vockan Consulting Ltda</t>
  </si>
  <si>
    <t>NB-Consultoria-Tec&amp;Dev</t>
  </si>
  <si>
    <t>SUP-Outros Projetos</t>
  </si>
  <si>
    <t>Mauser Do Brasil embalgens Ind S.A</t>
  </si>
  <si>
    <t>NB-Projetos e Consultoria</t>
  </si>
  <si>
    <t>AMVAC do Brasil Representacoes</t>
  </si>
  <si>
    <t>A7lAPT28665</t>
  </si>
  <si>
    <t>Program Manager</t>
  </si>
  <si>
    <t>APTIV Man e Serv de Distr. Ltda</t>
  </si>
  <si>
    <t>SUP-Apontamento</t>
  </si>
  <si>
    <t>Sietech</t>
  </si>
  <si>
    <t>Nelson Simoes</t>
  </si>
  <si>
    <t>Alinhamento com Gabriel sobre Rest API, scrum, tratamento de demandas aptiv</t>
  </si>
  <si>
    <t>NBP-CAIOBA</t>
  </si>
  <si>
    <t>OXBO DO BRASIL EQUIPAMENTOS</t>
  </si>
  <si>
    <t>8038-VCK452</t>
  </si>
  <si>
    <t>8082-VCK638</t>
  </si>
  <si>
    <t>4460-vck460</t>
  </si>
  <si>
    <t>4328-VCK1760</t>
  </si>
  <si>
    <t>ZF Automotive Brasil Ltda</t>
  </si>
  <si>
    <t>472-VCK450</t>
  </si>
  <si>
    <t>7962-VCK448</t>
  </si>
  <si>
    <t>480-VCK452</t>
  </si>
  <si>
    <t>4350-VCK514</t>
  </si>
  <si>
    <t>434-VCK448</t>
  </si>
  <si>
    <t>484-VCK514</t>
  </si>
  <si>
    <t>2174-VCK448</t>
  </si>
  <si>
    <t>SUP-Treinamento</t>
  </si>
  <si>
    <t>SUP-Reuniao</t>
  </si>
  <si>
    <t>7956-VCK538</t>
  </si>
  <si>
    <t>Valmont Ind.e Com. Ltda</t>
  </si>
  <si>
    <t>436-VCK520</t>
  </si>
  <si>
    <t>496-VCK472</t>
  </si>
  <si>
    <t>610-VCK528</t>
  </si>
  <si>
    <t>2024-VCK490</t>
  </si>
  <si>
    <t>Freudenberg Nok Comp Br Ltd</t>
  </si>
  <si>
    <t>458-VCK492</t>
  </si>
  <si>
    <t>002-VCKDSCPQAD</t>
  </si>
  <si>
    <t>952-VCK446</t>
  </si>
  <si>
    <t>NBP-PE-PLAN12</t>
  </si>
  <si>
    <t>NB-Squad_DevTec</t>
  </si>
  <si>
    <t>Revisão de itens de backlog obsoletos, criação de projetos, alinhamento com fábio sobre demandas ZF, scrum</t>
  </si>
  <si>
    <t>NB-Scrum-Dev</t>
  </si>
  <si>
    <t>448-VCK494</t>
  </si>
  <si>
    <t>HUF do Brasil Ltda</t>
  </si>
  <si>
    <t>4348-VCK508</t>
  </si>
  <si>
    <t>452-VCK476</t>
  </si>
  <si>
    <t>Alinhamento e desenho de solução ZF Lifetech, revisão de bitrix, reunião Autokiniton Go-no go, scrum, revisão de demandas DEv para bpo</t>
  </si>
  <si>
    <t>NB-BPO e PMO</t>
  </si>
  <si>
    <t>NBP-PE-PLAN10</t>
  </si>
  <si>
    <t>872-VCK478</t>
  </si>
  <si>
    <t>876-VCK490</t>
  </si>
  <si>
    <t>4776-VCK488</t>
  </si>
  <si>
    <t>1:1 Andre</t>
  </si>
  <si>
    <t>7988-VCK446</t>
  </si>
  <si>
    <t>PPM e documentação</t>
  </si>
  <si>
    <t>Revisão de backlog do DEV, alinhamento de demandas squad</t>
  </si>
  <si>
    <t>370-vck22</t>
  </si>
  <si>
    <t>Alinhamento KYB, Jit fase 2, alinhamento bpo amvac fiscal, alinhamento BPO agilista com Guilherme, demandas de BPO com Fabio</t>
  </si>
  <si>
    <t>NBP-PREVENDA</t>
  </si>
  <si>
    <t>154-vckZF</t>
  </si>
  <si>
    <t>Alinhamento sobre mudanças de operação</t>
  </si>
  <si>
    <t>068-vckcar</t>
  </si>
  <si>
    <t>826-VCK504</t>
  </si>
  <si>
    <t>7938-VCK446</t>
  </si>
  <si>
    <t>reunião gerencial, scrum, revisão de projetos v-control</t>
  </si>
  <si>
    <t>NBP-PLAN-112</t>
  </si>
  <si>
    <t>NBP-PLAN107</t>
  </si>
  <si>
    <t>REvisão de plano Agilista e apresentação para Fabricio</t>
  </si>
  <si>
    <t>NBP-WEBUI-LOC</t>
  </si>
  <si>
    <t>sprint semanal de BPO operacional</t>
  </si>
  <si>
    <t>Bitrix, treinamento Exchange, Alinhamento exchange com fabricio</t>
  </si>
  <si>
    <t>Revisão de plano agilista</t>
  </si>
  <si>
    <t>USP15072</t>
  </si>
  <si>
    <t>Planejamento de atividades de BPO</t>
  </si>
  <si>
    <t>Planjamento e acompanhamento de esceução dos QSM</t>
  </si>
  <si>
    <t>1:1 André, revisão de PE com Daniel</t>
  </si>
  <si>
    <t>7958-VCK446</t>
  </si>
  <si>
    <t>Fechamento de sprint, alinhamento com tec</t>
  </si>
  <si>
    <t>Revisão de oportunidades com André, alinhamento com Fabio</t>
  </si>
  <si>
    <t>7960-VCK446</t>
  </si>
  <si>
    <t>Revisão de iniciativas NB do PE, scrum</t>
  </si>
  <si>
    <t>Bitrix, revisão de material para site</t>
  </si>
  <si>
    <t>NB-VCC</t>
  </si>
  <si>
    <t>DOSCOBQAD</t>
  </si>
  <si>
    <t>BPO, cartilha de processos e KPI de produtividade, Bitrix, Scrum, tratamento de demandas BPO, alinhamento do planejamento estratégico</t>
  </si>
  <si>
    <t>131-VckAut</t>
  </si>
  <si>
    <t>NBP-PE-PLAN23</t>
  </si>
  <si>
    <t>sprint semanal</t>
  </si>
  <si>
    <t>Checkpoint zeiss, alinhamento Hilmar, 1:1 Gabriel, scrum, alinhamento autokiniton, reunião com cliente global autokiniton</t>
  </si>
  <si>
    <t>Alinhamento sobre BPO Operacional</t>
  </si>
  <si>
    <t>2150-VCK494</t>
  </si>
  <si>
    <t>Visita Smiths, 1:1 Andre</t>
  </si>
  <si>
    <t>968-vck452</t>
  </si>
  <si>
    <t>Alinhamento para subida de projeto em produção</t>
  </si>
  <si>
    <t>Checkpoint Zeiss, fup bitrix, Checkpoint autokiniton, 1:1 Fabio, exchange IPC e farmer, plano agilista</t>
  </si>
  <si>
    <t>Alinhamento sobre upgrade Progress</t>
  </si>
  <si>
    <t>Alinhamento Visteon, scrum, autokiniton</t>
  </si>
  <si>
    <t>Alinhamento e montagem de plano comercial</t>
  </si>
  <si>
    <t>CMP alinhamento com cliente, revisão de propostas, palno de ação Agilista e BPO Op com André, Cargas NN, scrum, Revisão de projetos</t>
  </si>
  <si>
    <t>Sprint semanal BPO Operacional.</t>
  </si>
  <si>
    <t>Alinhamento de Atividades com Parrillo</t>
  </si>
  <si>
    <t>Plano de ação Agilista, Planejamento de Sprint, reunião NN, reunião Autokiniton Global</t>
  </si>
  <si>
    <t>Acompanhamento de demandas de desenvolvimento.</t>
  </si>
  <si>
    <t>Controle de demandas de BPO, 628, 663, 639, 597</t>
  </si>
  <si>
    <t>NBP-HERA</t>
  </si>
  <si>
    <t>Reunião com Daniel sobre NB, Checkpoint autokiniton e reunião com cliente BR, 1:1 André, revisão de propostas</t>
  </si>
  <si>
    <t>Alinhamento Zeiss, fup bitrix, checkpoint autokiniton, 1:1 Fabio, alinhamento Aptiv com Hilmar, fechamento de Sprint, reunião sobre Agilista com Andre e João, reunião NN</t>
  </si>
  <si>
    <t>Revisão de demandas de BPO em Sprint de desenvolvimento.</t>
  </si>
  <si>
    <t>Propostas, alinhamento de horas Mario com Alan, checkpoint Autokiniton, Alinhamento com Daniel sobre Agilista, reunião com KYB</t>
  </si>
  <si>
    <t>NBP-QADBR+_Lean</t>
  </si>
  <si>
    <t>CostRate w/ Taxes</t>
  </si>
  <si>
    <t>Total Cost</t>
  </si>
  <si>
    <t>Project Type</t>
  </si>
  <si>
    <t>074-Vckadi</t>
  </si>
  <si>
    <t>FF</t>
  </si>
  <si>
    <t>095-vckadi</t>
  </si>
  <si>
    <t>128-VckAdi</t>
  </si>
  <si>
    <t>806-Vck446</t>
  </si>
  <si>
    <t>NB-Support</t>
  </si>
  <si>
    <t>NB</t>
  </si>
  <si>
    <t>049-VckAmv</t>
  </si>
  <si>
    <t>089-vckand</t>
  </si>
  <si>
    <t>T&amp;M</t>
  </si>
  <si>
    <t>010-VckBim</t>
  </si>
  <si>
    <t>115-VCKCER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</si>
  <si>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</si>
  <si>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</si>
  <si>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</si>
  <si>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</si>
  <si>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</si>
  <si>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</si>
  <si>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</si>
  <si>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</si>
  <si>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</si>
  <si>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</si>
  <si>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</si>
  <si>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</si>
  <si>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</si>
  <si>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</si>
  <si>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</si>
  <si>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</si>
  <si>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362-VCK528</t>
  </si>
  <si>
    <t>VCK692</t>
  </si>
  <si>
    <t>NB-CloudCert2023</t>
  </si>
  <si>
    <t>NBP-Capacitacao</t>
  </si>
  <si>
    <t>NBP-Governanca</t>
  </si>
  <si>
    <t>NB-Treinamento</t>
  </si>
  <si>
    <t>155-vckZF</t>
  </si>
  <si>
    <t>088-VckZod</t>
  </si>
  <si>
    <t>097+110-vckadi</t>
  </si>
  <si>
    <t>127-VckAdi</t>
  </si>
  <si>
    <t>788-VCK692</t>
  </si>
  <si>
    <t>858-VCK488</t>
  </si>
  <si>
    <t>ZF_894-VCK542</t>
  </si>
  <si>
    <t>NBP-Implantacao-BPO</t>
  </si>
  <si>
    <t>NB-Universidades</t>
  </si>
  <si>
    <t>CSA</t>
  </si>
  <si>
    <t>860-VCK562</t>
  </si>
  <si>
    <t>862-VCK538</t>
  </si>
  <si>
    <t>884-VCK526</t>
  </si>
  <si>
    <t>886-VCK704</t>
  </si>
  <si>
    <t>890-VCK500</t>
  </si>
  <si>
    <t>944-VCK528</t>
  </si>
  <si>
    <t>1062-VCK466</t>
  </si>
  <si>
    <t>970-VCK514</t>
  </si>
  <si>
    <t>786-VCK538</t>
  </si>
  <si>
    <t>NBP-WEBUI-FIN</t>
  </si>
  <si>
    <t>950-VCK862</t>
  </si>
  <si>
    <t>984-VCK538</t>
  </si>
  <si>
    <t>NBP-PLAN17</t>
  </si>
  <si>
    <t>NBP-Trein_Vendas</t>
  </si>
  <si>
    <t>976-VCK510</t>
  </si>
  <si>
    <t>NBP-AMCHAM</t>
  </si>
  <si>
    <t>059-VckAdi</t>
  </si>
  <si>
    <t>888-vck446</t>
  </si>
  <si>
    <t>4320-VCK452</t>
  </si>
  <si>
    <t>4520-VCK472</t>
  </si>
  <si>
    <t>NB-MKT</t>
  </si>
  <si>
    <t>5012-VCK446</t>
  </si>
  <si>
    <t>4358-VCK510</t>
  </si>
  <si>
    <t>4436-VCK446</t>
  </si>
  <si>
    <t>4522-VCK452</t>
  </si>
  <si>
    <t>7950-VCK508</t>
  </si>
  <si>
    <t>Additional Comment</t>
  </si>
  <si>
    <t>Rótulos de Linha</t>
  </si>
  <si>
    <t>Total Geral</t>
  </si>
  <si>
    <t>Soma de Time Actual</t>
  </si>
  <si>
    <t>Soma de Total Cost</t>
  </si>
  <si>
    <t>Sietech Total</t>
  </si>
  <si>
    <t>NB Total</t>
  </si>
  <si>
    <t>T&amp;M Total</t>
  </si>
  <si>
    <t>FF Total</t>
  </si>
  <si>
    <t>BRP2394</t>
  </si>
  <si>
    <t>BRP2395</t>
  </si>
  <si>
    <t>BRP2396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</si>
</sst>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2" borderId="0" xfId="0" applyFill="1"/>
    <xf numFmtId="0" fontId="0" fillId="0" borderId="0" xfId="0" pivotButton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2">
    <cellStyle name="Normal" xfId="0" builtinId="0"/>
    <cellStyle name="Vírgula" xfId="1" builtinId="3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16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/d/yyyy"/>
    </dxf>
    <dxf>
      <numFmt numFmtId="168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667.482249652778" createdVersion="6" refreshedVersion="8" minRefreshableVersion="3" recordCount="1382" xr:uid="{DEB380CA-BAC6-4BDF-8AE7-253C805DD2AC}">
  <cacheSource type="worksheet">
    <worksheetSource ref="A1:S1048576" sheet="Dezembro 2024"/>
  </cacheSource>
  <cacheFields count="19">
    <cacheField name="FunnelID" numFmtId="0">
      <sharedItems containsBlank="1" count="60">
        <s v="434-VCK448"/>
        <s v="480-VCK452"/>
        <s v="8038-VCK452"/>
        <s v="968-vck452"/>
        <s v="876-VCK490"/>
        <s v="448-VCK494"/>
        <s v="826-VCK504"/>
        <s v="484-VCK514"/>
        <s v="7956-VCK538"/>
        <s v="NB-BPO e PMO"/>
        <s v="NB-Consultoria-Tec&amp;Dev"/>
        <s v="NBP-PE-PLAN10"/>
        <s v="NBP-PE-PLAN12"/>
        <s v="NBP-PE-PLAN23"/>
        <s v="4328-VCK1760"/>
        <m/>
        <s v="7938-VCK446" u="1"/>
        <s v="7958-VCK446" u="1"/>
        <s v="7960-VCK446" u="1"/>
        <s v="7988-VCK446" u="1"/>
        <s v="952-VCK446" u="1"/>
        <s v="7962-VCK448" u="1"/>
        <s v="2174-VCK448" u="1"/>
        <s v="370-vck22" u="1"/>
        <s v="NB - Support" u="1"/>
        <s v="472-VCK450" u="1"/>
        <s v="A7lAPT28665" u="1"/>
        <s v="131-VckAut" u="1"/>
        <s v="4460-vck460" u="1"/>
        <s v="068-vckcar" u="1"/>
        <s v="496-VCK472" u="1"/>
        <s v="452-VCK476" u="1"/>
        <s v="872-VCK478" u="1"/>
        <s v="2024-VCK490" u="1"/>
        <s v="458-VCK492" u="1"/>
        <s v="2150-VCK494" u="1"/>
        <s v="4348-VCK508" u="1"/>
        <s v="4350-VCK514" u="1"/>
        <s v="002-VCKDSCPQAD" u="1"/>
        <s v="8082-VCK638" u="1"/>
        <s v="USP15072" u="1"/>
        <s v="436-VCK520" u="1"/>
        <s v="610-VCK528" u="1"/>
        <s v="151-VckTow" u="1"/>
        <s v="4776-VCK488" u="1"/>
        <s v="NBP-CAIOBA" u="1"/>
        <s v="NBP-HERA" u="1"/>
        <s v="NBP-PLAN107" u="1"/>
        <s v="NBP-PLAN-112" u="1"/>
        <s v="NBP-PLAN-115" u="1"/>
        <s v="NBP-PREVENDA" u="1"/>
        <s v="NBP-QADBR+_Lean" u="1"/>
        <s v="NB-Projetos e Consultoria" u="1"/>
        <s v="NBP-WEBUI-LOC" u="1"/>
        <s v="NB-Scrum-Dev" u="1"/>
        <s v="NB-Squad_DevTec" u="1"/>
        <s v="NB-VCC" u="1"/>
        <s v="SUP-Outros Projetos" u="1"/>
        <s v="154-vckZF" u="1"/>
        <s v="NB-REST" u="1"/>
      </sharedItems>
    </cacheField>
    <cacheField name="Work Date" numFmtId="0">
      <sharedItems containsNonDate="0" containsDate="1" containsString="0" containsBlank="1" minDate="2024-12-02T00:00:00" maxDate="2025-01-01T00:00:00"/>
    </cacheField>
    <cacheField name="Date TimeSheet" numFmtId="0">
      <sharedItems containsNonDate="0" containsDate="1" containsString="0" containsBlank="1" minDate="2024-12-09T00:00:00" maxDate="2025-01-07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12" maxValue="12"/>
    </cacheField>
    <cacheField name="Day" numFmtId="0">
      <sharedItems containsString="0" containsBlank="1" containsNumber="1" containsInteger="1" minValue="2" maxValue="31"/>
    </cacheField>
    <cacheField name="Week" numFmtId="0">
      <sharedItems containsString="0" containsBlank="1" containsNumber="1" containsInteger="1" minValue="49" maxValue="52"/>
    </cacheField>
    <cacheField name="Time Actual" numFmtId="0">
      <sharedItems containsString="0" containsBlank="1" containsNumber="1" containsInteger="1" minValue="1" maxValue="10"/>
    </cacheField>
    <cacheField name="Company" numFmtId="0">
      <sharedItems containsBlank="1" count="30">
        <s v="Sietech"/>
        <m/>
        <s v="WTK" u="1"/>
        <s v="DMS" u="1"/>
        <s v="RUAH" u="1"/>
        <s v="Diando" u="1"/>
        <s v="PHL" u="1"/>
        <s v="TFA" u="1"/>
        <s v="NHvala" u="1"/>
        <s v="Ceta" u="1"/>
        <s v="CYP" u="1"/>
        <s v="CZ" u="1"/>
        <s v="NEO" u="1"/>
        <s v="GMB SERVICOS INFORMATICA" u="1"/>
        <s v="Domain Informatica" u="1"/>
        <s v="High Business" u="1"/>
        <s v="LAAM" u="1"/>
        <s v="LF Solucoes TI" u="1"/>
        <s v="Castrofrade TP" u="1"/>
        <s v="FDV Gprojetos" u="1"/>
        <s v="Bright Eleven" u="1"/>
        <s v="ISL" u="1"/>
        <s v="Vockan Consulting" u="1"/>
        <s v="DR Tecnologia" u="1"/>
        <s v="Web Working" u="1"/>
        <s v="Loss Consultoria" u="1"/>
        <s v="AGOB" u="1"/>
        <s v="LGATTI" u="1"/>
        <s v="Bruno Bonadio Lopez" u="1"/>
        <s v="SGJ" u="1"/>
      </sharedItems>
    </cacheField>
    <cacheField name="Resource Name" numFmtId="0">
      <sharedItems containsBlank="1" count="50">
        <s v="Nelson Simoes"/>
        <m/>
        <s v="Walter Augusto" u="1"/>
        <s v="Andre Parpinelli" u="1"/>
        <s v="Reginaldo Almeida" u="1"/>
        <s v="Diogo Aguiar" u="1"/>
        <s v="Pedro Silva" u="1"/>
        <s v="Benedito Souza" u="1"/>
        <s v="Ederson Alexandre" u="1"/>
        <s v="Fabio Costa" u="1"/>
        <s v="Higo Scheunemann" u="1"/>
        <s v="Leandro Senna" u="1"/>
        <s v="Thiago Queiros" u="1"/>
        <s v="Nayara Hvala" u="1"/>
        <s v="Geraldo Silva" u="1"/>
        <s v="Leonardo Parrillo" u="1"/>
        <s v="Renato Louzada" u="1"/>
        <s v="Eduardo Provenzano" u="1"/>
        <s v="Kennedy Teixeira" u="1"/>
        <s v="Marcos Xavier" u="1"/>
        <s v="Allan Oliveira" u="1"/>
        <s v="Edson Risso" u="1"/>
        <s v="Gabriel Brigo" u="1"/>
        <s v="Marcia Silva" u="1"/>
        <s v="Miguel Castaneda" u="1"/>
        <s v="Luiz Alfredo" u="1"/>
        <s v="Leandro Francischinelli" u="1"/>
        <s v="Marcelo Frade" u="1"/>
        <s v="Fernanda Dias" u="1"/>
        <s v="Jefte Villar" u="1"/>
        <s v="Sergio Ziroldo" u="1"/>
        <s v="Clovis Silva" u="1"/>
        <s v="Jan Lustig" u="1"/>
        <s v="Ismael Lopes" u="1"/>
        <s v="Vinicius Knipers" u="1"/>
        <s v="Hilmar Junior" u="1"/>
        <s v="Daniel Amaral" u="1"/>
        <s v="Kauane Rocha" u="1"/>
        <s v="Tiago Semidei" u="1"/>
        <s v="Sildemar Sousa" u="1"/>
        <s v="Guilherme Loss" u="1"/>
        <s v="Ana Bispo" u="1"/>
        <s v="Emerson Lopes" u="1"/>
        <s v="Lincoln Gatti" u="1"/>
        <s v="Marcelo Cunha" u="1"/>
        <s v="Nilson Santana" u="1"/>
        <s v="Bruno Bonadio" u="1"/>
        <s v="Giovana Rodrigues" u="1"/>
        <s v="Sergio Gabriel" u="1"/>
        <s v="Sildemar Sousa-vk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w/ Taxes" numFmtId="0">
      <sharedItems containsString="0" containsBlank="1" containsNumber="1" minValue="0" maxValue="6500" count="52">
        <n v="173.00275482093664"/>
        <n v="95.239669421487619"/>
        <n v="110.00550964187327"/>
        <m/>
        <n v="120.00000000000001" u="1"/>
        <n v="182.99724517906336" u="1"/>
        <n v="93.002754820936644" u="1"/>
        <n v="114.99724517906337" u="1"/>
        <n v="140" u="1"/>
        <n v="86.688705234159784" u="1"/>
        <n v="433.41046831955924" u="1"/>
        <n v="56" u="1"/>
        <n v="103.09641873278237" u="1"/>
        <n v="165.00275482093664" u="1"/>
        <n v="142.99724517906338" u="1"/>
        <n v="222.00550964187329" u="1"/>
        <n v="260.39669421487605" u="1"/>
        <n v="102.00550964187327" u="1"/>
        <n v="126.99724517906337" u="1"/>
        <n v="124" u="1"/>
        <n v="121.00000000000001" u="1"/>
        <n v="172.41873278236915" u="1"/>
        <n v="165.05785123966942" u="1"/>
        <n v="178.99724517906336" u="1"/>
        <n v="160" u="1"/>
        <n v="225" u="1"/>
        <n v="145.00055096418731" u="1"/>
        <n v="190" u="1"/>
        <n v="69.994490358126725" u="1"/>
        <n v="96.000000000000014" u="1"/>
        <n v="61.663911845730027" u="1"/>
        <n v="0" u="1"/>
        <n v="139.94490358126723" u="1"/>
        <n v="226.41322314049589" u="1"/>
        <n v="32.143250688705237" u="1"/>
        <n v="94.016528925619824" u="1"/>
        <n v="71.426997245179052" u="1"/>
        <n v="38.391184573002761" u="1"/>
        <n v="150" u="1"/>
        <n v="195" u="1"/>
        <n v="94.997245179063356" u="1"/>
        <n v="157" u="1"/>
        <n v="65.002754820936644" u="1"/>
        <n v="180" u="1"/>
        <n v="190.00550964187329" u="1"/>
        <n v="130.00550964187329" u="1"/>
        <n v="106" u="1"/>
        <n v="70.314049586776861" u="1"/>
        <n v="39.162534435261705" u="1"/>
        <n v="3100" u="1"/>
        <n v="6500" u="1"/>
        <n v="1500" u="1"/>
      </sharedItems>
    </cacheField>
    <cacheField name="Total Cost" numFmtId="0">
      <sharedItems containsString="0" containsBlank="1" containsNumber="1" minValue="110.00550964187327" maxValue="1100.0550964187328"/>
    </cacheField>
    <cacheField name="Customer Name" numFmtId="0">
      <sharedItems containsBlank="1"/>
    </cacheField>
    <cacheField name="Project Type" numFmtId="0">
      <sharedItems containsNonDate="0" containsBlank="1" count="4">
        <s v="FF"/>
        <s v="T&amp;M"/>
        <s v="NB"/>
        <m/>
      </sharedItems>
    </cacheField>
    <cacheField name="Additional 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d v="2024-12-12T00:00:00"/>
    <d v="2024-12-16T00:00:00"/>
    <s v="SOW"/>
    <n v="2024"/>
    <n v="12"/>
    <n v="12"/>
    <n v="50"/>
    <n v="1"/>
    <x v="0"/>
    <x v="0"/>
    <s v="Project Manager"/>
    <s v="Alinhamento sobre BPO Operacional"/>
    <n v="157"/>
    <x v="0"/>
    <n v="173.00275482093664"/>
    <s v="AMVAC do Brasil Representacoes"/>
    <x v="0"/>
    <m/>
  </r>
  <r>
    <x v="1"/>
    <d v="2024-12-05T00:00:00"/>
    <d v="2024-12-09T00:00:00"/>
    <s v="SOW"/>
    <n v="2024"/>
    <n v="12"/>
    <n v="5"/>
    <n v="49"/>
    <n v="2"/>
    <x v="0"/>
    <x v="0"/>
    <s v="Program Manager"/>
    <s v="Controle de demandas de BPO, 628, 663, 639, 597"/>
    <n v="157"/>
    <x v="0"/>
    <n v="346.00550964187329"/>
    <s v="APTIV Man e Serv de Distr. Ltda"/>
    <x v="0"/>
    <m/>
  </r>
  <r>
    <x v="1"/>
    <d v="2024-12-18T00:00:00"/>
    <d v="2024-12-23T00:00:00"/>
    <s v="SOW"/>
    <n v="2024"/>
    <n v="12"/>
    <n v="18"/>
    <n v="51"/>
    <n v="2"/>
    <x v="0"/>
    <x v="0"/>
    <s v="Program Manager"/>
    <s v="Planejamento de atividades de BPO"/>
    <n v="157"/>
    <x v="0"/>
    <n v="346.00550964187329"/>
    <s v="APTIV Man e Serv de Distr. Ltda"/>
    <x v="0"/>
    <m/>
  </r>
  <r>
    <x v="2"/>
    <d v="2024-12-26T00:00:00"/>
    <d v="2024-12-30T00:00:00"/>
    <s v="SOW"/>
    <n v="2024"/>
    <n v="12"/>
    <n v="26"/>
    <n v="52"/>
    <n v="1"/>
    <x v="0"/>
    <x v="0"/>
    <s v="Project Manager"/>
    <s v="PPM e documentação"/>
    <n v="157"/>
    <x v="0"/>
    <n v="173.00275482093664"/>
    <s v="APTIV Man e Serv de Distr. Ltda"/>
    <x v="1"/>
    <m/>
  </r>
  <r>
    <x v="3"/>
    <d v="2024-12-11T00:00:00"/>
    <d v="2024-12-16T00:00:00"/>
    <s v="SOW"/>
    <n v="2024"/>
    <n v="12"/>
    <n v="11"/>
    <n v="50"/>
    <n v="2"/>
    <x v="0"/>
    <x v="0"/>
    <s v="Project Manager"/>
    <s v="Alinhamento para subida de projeto em produção"/>
    <n v="157"/>
    <x v="0"/>
    <n v="346.00550964187329"/>
    <s v="APTIV Man e Serv de Distr. Ltda"/>
    <x v="2"/>
    <m/>
  </r>
  <r>
    <x v="4"/>
    <d v="2024-12-05T00:00:00"/>
    <d v="2024-12-09T00:00:00"/>
    <s v="SOW"/>
    <n v="2024"/>
    <n v="12"/>
    <n v="5"/>
    <n v="49"/>
    <n v="1"/>
    <x v="0"/>
    <x v="0"/>
    <s v="Project Manager"/>
    <s v="Alinhamento de Atividades com Parrillo"/>
    <n v="157"/>
    <x v="0"/>
    <n v="173.00275482093664"/>
    <s v="Freudenberg Nok Comp Br Ltd"/>
    <x v="1"/>
    <m/>
  </r>
  <r>
    <x v="5"/>
    <d v="2024-12-05T00:00:00"/>
    <d v="2024-12-09T00:00:00"/>
    <s v="SOW"/>
    <n v="2024"/>
    <n v="12"/>
    <n v="5"/>
    <n v="49"/>
    <n v="1"/>
    <x v="0"/>
    <x v="0"/>
    <s v="Program Manager"/>
    <s v="Acompanhamento de demandas de desenvolvimento."/>
    <n v="157"/>
    <x v="0"/>
    <n v="173.00275482093664"/>
    <s v="HUF do Brasil Ltda"/>
    <x v="0"/>
    <m/>
  </r>
  <r>
    <x v="5"/>
    <d v="2024-12-18T00:00:00"/>
    <d v="2024-12-23T00:00:00"/>
    <s v="SOW"/>
    <n v="2024"/>
    <n v="12"/>
    <n v="18"/>
    <n v="51"/>
    <n v="1"/>
    <x v="0"/>
    <x v="0"/>
    <s v="Program Manager"/>
    <s v="Planejamento de atividades de BPO"/>
    <n v="157"/>
    <x v="0"/>
    <n v="173.00275482093664"/>
    <s v="HUF do Brasil Ltda"/>
    <x v="0"/>
    <m/>
  </r>
  <r>
    <x v="6"/>
    <d v="2024-12-09T00:00:00"/>
    <d v="2024-12-16T00:00:00"/>
    <s v="SOW"/>
    <n v="2024"/>
    <n v="12"/>
    <n v="9"/>
    <n v="50"/>
    <n v="1"/>
    <x v="0"/>
    <x v="0"/>
    <s v="Project Manager"/>
    <s v="Alinhamento sobre upgrade Progress"/>
    <n v="157"/>
    <x v="0"/>
    <n v="173.00275482093664"/>
    <s v="Mauser Do Brasil embalgens Ind S.A"/>
    <x v="1"/>
    <m/>
  </r>
  <r>
    <x v="7"/>
    <d v="2024-12-03T00:00:00"/>
    <d v="2024-12-09T00:00:00"/>
    <s v="SOW"/>
    <n v="2024"/>
    <n v="12"/>
    <n v="3"/>
    <n v="49"/>
    <n v="1"/>
    <x v="0"/>
    <x v="0"/>
    <s v="Project Manager"/>
    <s v="Revisão de demandas de BPO em Sprint de desenvolvimento."/>
    <n v="157"/>
    <x v="0"/>
    <n v="173.00275482093664"/>
    <s v="OXBO DO BRASIL EQUIPAMENTOS"/>
    <x v="0"/>
    <m/>
  </r>
  <r>
    <x v="8"/>
    <d v="2024-12-18T00:00:00"/>
    <d v="2024-12-23T00:00:00"/>
    <s v="SOW"/>
    <n v="2024"/>
    <n v="12"/>
    <n v="18"/>
    <n v="51"/>
    <n v="2"/>
    <x v="0"/>
    <x v="0"/>
    <s v="Project Manager"/>
    <s v="Planjamento e acompanhamento de esceução dos QSM"/>
    <n v="157"/>
    <x v="0"/>
    <n v="346.00550964187329"/>
    <s v="Valmont Ind.e Com. Ltda"/>
    <x v="1"/>
    <m/>
  </r>
  <r>
    <x v="9"/>
    <d v="2024-12-16T00:00:00"/>
    <d v="2024-12-23T00:00:00"/>
    <s v="SOW"/>
    <n v="2024"/>
    <n v="12"/>
    <n v="16"/>
    <n v="51"/>
    <n v="4"/>
    <x v="0"/>
    <x v="0"/>
    <s v="Program Manager"/>
    <s v="Bitrix, revisão de material para site"/>
    <n v="86.43"/>
    <x v="1"/>
    <n v="380.95867768595048"/>
    <s v="Vockan Consulting Ltda"/>
    <x v="2"/>
    <m/>
  </r>
  <r>
    <x v="9"/>
    <d v="2024-12-17T00:00:00"/>
    <d v="2024-12-23T00:00:00"/>
    <s v="SOW"/>
    <n v="2024"/>
    <n v="12"/>
    <n v="17"/>
    <n v="51"/>
    <n v="4"/>
    <x v="0"/>
    <x v="0"/>
    <s v="Program Manager"/>
    <s v="Revisão de oportunidades com André, alinhamento com Fabio"/>
    <n v="86.43"/>
    <x v="1"/>
    <n v="380.95867768595048"/>
    <s v="Vockan Consulting Ltda"/>
    <x v="2"/>
    <m/>
  </r>
  <r>
    <x v="9"/>
    <d v="2024-12-18T00:00:00"/>
    <d v="2024-12-23T00:00:00"/>
    <s v="SOW"/>
    <n v="2024"/>
    <n v="12"/>
    <n v="18"/>
    <n v="51"/>
    <n v="2"/>
    <x v="0"/>
    <x v="0"/>
    <s v="Program Manager"/>
    <s v="1:1 André, revisão de PE com Daniel"/>
    <n v="86.43"/>
    <x v="1"/>
    <n v="190.47933884297524"/>
    <s v="Vockan Consulting Ltda"/>
    <x v="2"/>
    <m/>
  </r>
  <r>
    <x v="9"/>
    <d v="2024-12-19T00:00:00"/>
    <d v="2024-12-23T00:00:00"/>
    <s v="SOW"/>
    <n v="2024"/>
    <n v="12"/>
    <n v="19"/>
    <n v="51"/>
    <n v="7"/>
    <x v="0"/>
    <x v="0"/>
    <s v="Program Manager"/>
    <s v="Bitrix, treinamento Exchange, Alinhamento exchange com fabricio"/>
    <n v="86.43"/>
    <x v="1"/>
    <n v="666.67768595041332"/>
    <s v="Vockan Consulting Ltda"/>
    <x v="2"/>
    <m/>
  </r>
  <r>
    <x v="9"/>
    <d v="2024-12-23T00:00:00"/>
    <d v="2024-12-30T00:00:00"/>
    <s v="SOW"/>
    <n v="2024"/>
    <n v="12"/>
    <n v="23"/>
    <n v="52"/>
    <n v="7"/>
    <x v="0"/>
    <x v="0"/>
    <s v="Program Manager"/>
    <s v="Alinhamento KYB, Jit fase 2, alinhamento bpo amvac fiscal, alinhamento BPO agilista com Guilherme, demandas de BPO com Fabio"/>
    <n v="86.43"/>
    <x v="1"/>
    <n v="666.67768595041332"/>
    <s v="Vockan Consulting Ltda"/>
    <x v="2"/>
    <m/>
  </r>
  <r>
    <x v="10"/>
    <d v="2024-12-02T00:00:00"/>
    <d v="2024-12-09T00:00:00"/>
    <s v="NB01"/>
    <n v="2024"/>
    <n v="12"/>
    <n v="2"/>
    <n v="49"/>
    <n v="10"/>
    <x v="0"/>
    <x v="0"/>
    <s v="Program Manager"/>
    <s v="Propostas, alinhamento de horas Mario com Alan, checkpoint Autokiniton, Alinhamento com Daniel sobre Agilista, reunião com KYB"/>
    <n v="99.83"/>
    <x v="2"/>
    <n v="1100.0550964187328"/>
    <s v="Vockan Consulting Ltda"/>
    <x v="2"/>
    <m/>
  </r>
  <r>
    <x v="10"/>
    <d v="2024-12-03T00:00:00"/>
    <d v="2024-12-09T00:00:00"/>
    <s v="NB01"/>
    <n v="2024"/>
    <n v="12"/>
    <n v="3"/>
    <n v="49"/>
    <n v="7"/>
    <x v="0"/>
    <x v="0"/>
    <s v="Program Manager"/>
    <s v="Alinhamento Zeiss, fup bitrix, checkpoint autokiniton, 1:1 Fabio, alinhamento Aptiv com Hilmar, fechamento de Sprint, reunião sobre Agilista com Andre e João, reunião NN"/>
    <n v="99.83"/>
    <x v="2"/>
    <n v="770.03856749311296"/>
    <s v="Vockan Consulting Ltda"/>
    <x v="2"/>
    <m/>
  </r>
  <r>
    <x v="10"/>
    <d v="2024-12-04T00:00:00"/>
    <d v="2024-12-09T00:00:00"/>
    <s v="NB01"/>
    <n v="2024"/>
    <n v="12"/>
    <n v="4"/>
    <n v="49"/>
    <n v="9"/>
    <x v="0"/>
    <x v="0"/>
    <s v="Program Manager"/>
    <s v="Reunião com Daniel sobre NB, Checkpoint autokiniton e reunião com cliente BR, 1:1 André, revisão de propostas"/>
    <n v="99.83"/>
    <x v="2"/>
    <n v="990.04958677685943"/>
    <s v="Vockan Consulting Ltda"/>
    <x v="2"/>
    <m/>
  </r>
  <r>
    <x v="10"/>
    <d v="2024-12-05T00:00:00"/>
    <d v="2024-12-09T00:00:00"/>
    <s v="NB01"/>
    <n v="2024"/>
    <n v="12"/>
    <n v="5"/>
    <n v="49"/>
    <n v="3"/>
    <x v="0"/>
    <x v="0"/>
    <s v="Program Manager"/>
    <s v="Plano de ação Agilista, Planejamento de Sprint, reunião NN, reunião Autokiniton Global"/>
    <n v="99.83"/>
    <x v="2"/>
    <n v="330.01652892561981"/>
    <s v="Vockan Consulting Ltda"/>
    <x v="2"/>
    <m/>
  </r>
  <r>
    <x v="10"/>
    <d v="2024-12-06T00:00:00"/>
    <d v="2024-12-09T00:00:00"/>
    <s v="NB01"/>
    <n v="2024"/>
    <n v="12"/>
    <n v="6"/>
    <n v="49"/>
    <n v="9"/>
    <x v="0"/>
    <x v="0"/>
    <s v="Program Manager"/>
    <s v="CMP alinhamento com cliente, revisão de propostas, palno de ação Agilista e BPO Op com André, Cargas NN, scrum, Revisão de projetos"/>
    <n v="99.83"/>
    <x v="2"/>
    <n v="990.04958677685943"/>
    <s v="Vockan Consulting Ltda"/>
    <x v="2"/>
    <m/>
  </r>
  <r>
    <x v="10"/>
    <d v="2024-12-09T00:00:00"/>
    <d v="2024-12-16T00:00:00"/>
    <s v="NB01"/>
    <n v="2024"/>
    <n v="12"/>
    <n v="9"/>
    <n v="50"/>
    <n v="4"/>
    <x v="0"/>
    <x v="0"/>
    <s v="Program Manager"/>
    <s v="Alinhamento Visteon, scrum, autokiniton"/>
    <n v="99.83"/>
    <x v="2"/>
    <n v="440.0220385674931"/>
    <s v="Vockan Consulting Ltda"/>
    <x v="2"/>
    <m/>
  </r>
  <r>
    <x v="10"/>
    <d v="2024-12-10T00:00:00"/>
    <d v="2024-12-16T00:00:00"/>
    <s v="NB01"/>
    <n v="2024"/>
    <n v="12"/>
    <n v="10"/>
    <n v="50"/>
    <n v="10"/>
    <x v="0"/>
    <x v="0"/>
    <s v="Program Manager"/>
    <s v="Checkpoint Zeiss, fup bitrix, Checkpoint autokiniton, 1:1 Fabio, exchange IPC e farmer, plano agilista"/>
    <n v="99.83"/>
    <x v="2"/>
    <n v="1100.0550964187328"/>
    <s v="Vockan Consulting Ltda"/>
    <x v="2"/>
    <m/>
  </r>
  <r>
    <x v="10"/>
    <d v="2024-12-11T00:00:00"/>
    <d v="2024-12-16T00:00:00"/>
    <s v="NB01"/>
    <n v="2024"/>
    <n v="12"/>
    <n v="11"/>
    <n v="50"/>
    <n v="6"/>
    <x v="0"/>
    <x v="0"/>
    <s v="Program Manager"/>
    <s v="Visita Smiths, 1:1 Andre"/>
    <n v="99.83"/>
    <x v="2"/>
    <n v="660.03305785123962"/>
    <s v="Vockan Consulting Ltda"/>
    <x v="2"/>
    <m/>
  </r>
  <r>
    <x v="10"/>
    <d v="2024-12-12T00:00:00"/>
    <d v="2024-12-16T00:00:00"/>
    <s v="NB01"/>
    <n v="2024"/>
    <n v="12"/>
    <n v="12"/>
    <n v="50"/>
    <n v="6"/>
    <x v="0"/>
    <x v="0"/>
    <s v="Program Manager"/>
    <s v="Checkpoint zeiss, alinhamento Hilmar, 1:1 Gabriel, scrum, alinhamento autokiniton, reunião com cliente global autokiniton"/>
    <n v="99.83"/>
    <x v="2"/>
    <n v="660.03305785123962"/>
    <s v="Vockan Consulting Ltda"/>
    <x v="2"/>
    <m/>
  </r>
  <r>
    <x v="10"/>
    <d v="2024-12-13T00:00:00"/>
    <d v="2024-12-16T00:00:00"/>
    <s v="NB01"/>
    <n v="2024"/>
    <n v="12"/>
    <n v="13"/>
    <n v="50"/>
    <n v="8"/>
    <x v="0"/>
    <x v="0"/>
    <s v="Program Manager"/>
    <s v="BPO, cartilha de processos e KPI de produtividade, Bitrix, Scrum, tratamento de demandas BPO, alinhamento do planejamento estratégico"/>
    <n v="99.83"/>
    <x v="2"/>
    <n v="880.0440771349862"/>
    <s v="Vockan Consulting Ltda"/>
    <x v="2"/>
    <m/>
  </r>
  <r>
    <x v="10"/>
    <d v="2024-12-16T00:00:00"/>
    <d v="2024-12-23T00:00:00"/>
    <s v="NB01"/>
    <n v="2024"/>
    <n v="12"/>
    <n v="16"/>
    <n v="51"/>
    <n v="4"/>
    <x v="0"/>
    <x v="0"/>
    <s v="Program Manager"/>
    <s v="Revisão de iniciativas NB do PE, scrum"/>
    <n v="99.83"/>
    <x v="2"/>
    <n v="440.0220385674931"/>
    <s v="Vockan Consulting Ltda"/>
    <x v="2"/>
    <m/>
  </r>
  <r>
    <x v="10"/>
    <d v="2024-12-17T00:00:00"/>
    <d v="2024-12-23T00:00:00"/>
    <s v="NB01"/>
    <n v="2024"/>
    <n v="12"/>
    <n v="17"/>
    <n v="51"/>
    <n v="4"/>
    <x v="0"/>
    <x v="0"/>
    <s v="Program Manager"/>
    <s v="Fechamento de sprint, alinhamento com tec"/>
    <n v="99.83"/>
    <x v="2"/>
    <n v="440.0220385674931"/>
    <s v="Vockan Consulting Ltda"/>
    <x v="2"/>
    <m/>
  </r>
  <r>
    <x v="10"/>
    <d v="2024-12-20T00:00:00"/>
    <d v="2024-12-23T00:00:00"/>
    <s v="NB01"/>
    <n v="2024"/>
    <n v="12"/>
    <n v="20"/>
    <n v="51"/>
    <n v="5"/>
    <x v="0"/>
    <x v="0"/>
    <s v="Program Manager"/>
    <s v="reunião gerencial, scrum, revisão de projetos v-control"/>
    <n v="99.83"/>
    <x v="2"/>
    <n v="550.02754820936639"/>
    <s v="Vockan Consulting Ltda"/>
    <x v="2"/>
    <m/>
  </r>
  <r>
    <x v="10"/>
    <d v="2024-12-24T00:00:00"/>
    <d v="2024-12-30T00:00:00"/>
    <s v="NB01"/>
    <n v="2024"/>
    <n v="12"/>
    <n v="24"/>
    <n v="52"/>
    <n v="7"/>
    <x v="0"/>
    <x v="0"/>
    <s v="Program Manager"/>
    <s v="Revisão de backlog do DEV, alinhamento de demandas squad"/>
    <n v="99.83"/>
    <x v="2"/>
    <n v="770.03856749311296"/>
    <s v="Vockan Consulting Ltda"/>
    <x v="2"/>
    <m/>
  </r>
  <r>
    <x v="10"/>
    <d v="2024-12-26T00:00:00"/>
    <d v="2024-12-30T00:00:00"/>
    <s v="NB01"/>
    <n v="2024"/>
    <n v="12"/>
    <n v="26"/>
    <n v="52"/>
    <n v="2"/>
    <x v="0"/>
    <x v="0"/>
    <s v="Program Manager"/>
    <s v="1:1 Andre"/>
    <n v="99.83"/>
    <x v="2"/>
    <n v="220.01101928374655"/>
    <s v="Vockan Consulting Ltda"/>
    <x v="2"/>
    <m/>
  </r>
  <r>
    <x v="10"/>
    <d v="2024-12-27T00:00:00"/>
    <d v="2024-12-30T00:00:00"/>
    <s v="NB01"/>
    <n v="2024"/>
    <n v="12"/>
    <n v="27"/>
    <n v="52"/>
    <n v="8"/>
    <x v="0"/>
    <x v="0"/>
    <s v="Program Manager"/>
    <s v="Alinhamento e desenho de solução ZF Lifetech, revisão de bitrix, reunião Autokiniton Go-no go, scrum, revisão de demandas DEv para bpo"/>
    <n v="99.83"/>
    <x v="2"/>
    <n v="880.0440771349862"/>
    <s v="Vockan Consulting Ltda"/>
    <x v="2"/>
    <m/>
  </r>
  <r>
    <x v="10"/>
    <d v="2024-12-30T00:00:00"/>
    <d v="2025-01-06T00:00:00"/>
    <s v="NB01"/>
    <n v="2024"/>
    <n v="12"/>
    <n v="30"/>
    <n v="52"/>
    <n v="6"/>
    <x v="0"/>
    <x v="0"/>
    <s v="Program Manager"/>
    <s v="Revisão de itens de backlog obsoletos, criação de projetos, alinhamento com fábio sobre demandas ZF, scrum"/>
    <n v="99.83"/>
    <x v="2"/>
    <n v="660.03305785123962"/>
    <s v="Vockan Consulting Ltda"/>
    <x v="2"/>
    <m/>
  </r>
  <r>
    <x v="10"/>
    <d v="2024-12-31T00:00:00"/>
    <d v="2025-01-06T00:00:00"/>
    <s v="NB01"/>
    <n v="2024"/>
    <n v="12"/>
    <n v="31"/>
    <n v="52"/>
    <n v="6"/>
    <x v="0"/>
    <x v="0"/>
    <s v="Program Manager"/>
    <s v="Alinhamento com Gabriel sobre Rest API, scrum, tratamento de demandas aptiv"/>
    <n v="99.83"/>
    <x v="2"/>
    <n v="660.03305785123962"/>
    <s v="Vockan Consulting Ltda"/>
    <x v="2"/>
    <m/>
  </r>
  <r>
    <x v="11"/>
    <d v="2024-12-09T00:00:00"/>
    <d v="2024-12-16T00:00:00"/>
    <s v="SOW"/>
    <n v="2024"/>
    <n v="12"/>
    <n v="9"/>
    <n v="50"/>
    <n v="3"/>
    <x v="0"/>
    <x v="0"/>
    <s v="Project Manager"/>
    <s v="Alinhamento e montagem de plano comercial"/>
    <n v="99.83"/>
    <x v="2"/>
    <n v="330.01652892561981"/>
    <s v="Vockan Consulting Ltda"/>
    <x v="2"/>
    <m/>
  </r>
  <r>
    <x v="11"/>
    <d v="2024-12-19T00:00:00"/>
    <d v="2024-12-23T00:00:00"/>
    <s v="SOW"/>
    <n v="2024"/>
    <n v="12"/>
    <n v="19"/>
    <n v="51"/>
    <n v="2"/>
    <x v="0"/>
    <x v="0"/>
    <s v="Project Manager"/>
    <s v="Revisão de plano agilista"/>
    <n v="99.83"/>
    <x v="2"/>
    <n v="220.01101928374655"/>
    <s v="Vockan Consulting Ltda"/>
    <x v="2"/>
    <m/>
  </r>
  <r>
    <x v="11"/>
    <d v="2024-12-20T00:00:00"/>
    <d v="2024-12-23T00:00:00"/>
    <s v="SOW"/>
    <n v="2024"/>
    <n v="12"/>
    <n v="20"/>
    <n v="51"/>
    <n v="3"/>
    <x v="0"/>
    <x v="0"/>
    <s v="Project Manager"/>
    <s v="REvisão de plano Agilista e apresentação para Fabricio"/>
    <n v="99.83"/>
    <x v="2"/>
    <n v="330.01652892561981"/>
    <s v="Vockan Consulting Ltda"/>
    <x v="2"/>
    <m/>
  </r>
  <r>
    <x v="12"/>
    <d v="2024-12-05T00:00:00"/>
    <d v="2024-12-09T00:00:00"/>
    <s v="SOW"/>
    <n v="2024"/>
    <n v="12"/>
    <n v="5"/>
    <n v="49"/>
    <n v="1"/>
    <x v="0"/>
    <x v="0"/>
    <s v="Project Manager"/>
    <s v="Sprint semanal BPO Operacional."/>
    <n v="99.83"/>
    <x v="2"/>
    <n v="110.00550964187327"/>
    <s v="Vockan Consulting Ltda"/>
    <x v="2"/>
    <m/>
  </r>
  <r>
    <x v="12"/>
    <d v="2024-12-19T00:00:00"/>
    <d v="2024-12-23T00:00:00"/>
    <s v="SOW"/>
    <n v="2024"/>
    <n v="12"/>
    <n v="19"/>
    <n v="51"/>
    <n v="1"/>
    <x v="0"/>
    <x v="0"/>
    <s v="Project Manager"/>
    <s v="sprint semanal de BPO operacional"/>
    <n v="99.83"/>
    <x v="2"/>
    <n v="110.00550964187327"/>
    <s v="Vockan Consulting Ltda"/>
    <x v="2"/>
    <m/>
  </r>
  <r>
    <x v="13"/>
    <d v="2024-12-12T00:00:00"/>
    <d v="2024-12-16T00:00:00"/>
    <s v="SOW"/>
    <n v="2024"/>
    <n v="12"/>
    <n v="12"/>
    <n v="50"/>
    <n v="1"/>
    <x v="0"/>
    <x v="0"/>
    <s v="Project Manager"/>
    <s v="sprint semanal"/>
    <n v="157"/>
    <x v="0"/>
    <n v="173.00275482093664"/>
    <s v="Vockan Consulting Ltda"/>
    <x v="2"/>
    <m/>
  </r>
  <r>
    <x v="14"/>
    <d v="2024-12-18T00:00:00"/>
    <d v="2024-12-23T00:00:00"/>
    <s v="SOW"/>
    <n v="2024"/>
    <n v="12"/>
    <n v="18"/>
    <n v="51"/>
    <n v="1"/>
    <x v="0"/>
    <x v="0"/>
    <s v="Program Manager"/>
    <s v="Planejamento de atividades de BPO"/>
    <n v="157"/>
    <x v="0"/>
    <n v="173.00275482093664"/>
    <s v="ZF Automotive Brasil Ltda"/>
    <x v="0"/>
    <m/>
  </r>
  <r>
    <x v="14"/>
    <d v="2024-12-23T00:00:00"/>
    <d v="2024-12-30T00:00:00"/>
    <s v="SOW"/>
    <n v="2024"/>
    <n v="12"/>
    <n v="23"/>
    <n v="52"/>
    <n v="1"/>
    <x v="0"/>
    <x v="0"/>
    <s v="Program Manager"/>
    <s v="Alinhamento sobre mudanças de operação"/>
    <n v="157"/>
    <x v="0"/>
    <n v="173.00275482093664"/>
    <s v="ZF Automotive Brasil Ltda"/>
    <x v="0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  <r>
    <x v="15"/>
    <m/>
    <m/>
    <m/>
    <m/>
    <m/>
    <m/>
    <m/>
    <m/>
    <x v="1"/>
    <x v="1"/>
    <m/>
    <m/>
    <m/>
    <x v="3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651C5-8630-4B88-AC9F-3EC01472FD05}" name="Tabela dinâmica1" cacheId="21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23" firstHeaderRow="0" firstDataRow="1" firstDataCol="5"/>
  <pivotFields count="19">
    <pivotField axis="axisRow" outline="0" showAll="0" defaultSubtotal="0">
      <items count="60">
        <item m="1" x="38"/>
        <item m="1" x="29"/>
        <item m="1" x="27"/>
        <item m="1" x="43"/>
        <item m="1" x="58"/>
        <item m="1" x="33"/>
        <item m="1" x="35"/>
        <item m="1" x="22"/>
        <item m="1" x="23"/>
        <item x="14"/>
        <item m="1" x="36"/>
        <item x="0"/>
        <item m="1" x="37"/>
        <item m="1" x="41"/>
        <item m="1" x="28"/>
        <item x="5"/>
        <item m="1" x="31"/>
        <item m="1" x="34"/>
        <item m="1" x="25"/>
        <item m="1" x="44"/>
        <item x="1"/>
        <item x="7"/>
        <item m="1" x="30"/>
        <item m="1" x="42"/>
        <item m="1" x="16"/>
        <item x="8"/>
        <item m="1" x="17"/>
        <item m="1" x="18"/>
        <item m="1" x="21"/>
        <item m="1" x="19"/>
        <item x="2"/>
        <item m="1" x="39"/>
        <item x="6"/>
        <item m="1" x="32"/>
        <item x="4"/>
        <item m="1" x="20"/>
        <item x="3"/>
        <item m="1" x="26"/>
        <item m="1" x="24"/>
        <item x="9"/>
        <item x="10"/>
        <item m="1" x="45"/>
        <item m="1" x="46"/>
        <item x="11"/>
        <item x="12"/>
        <item x="13"/>
        <item m="1" x="47"/>
        <item m="1" x="48"/>
        <item m="1" x="49"/>
        <item m="1" x="50"/>
        <item m="1" x="51"/>
        <item m="1" x="52"/>
        <item m="1" x="53"/>
        <item m="1" x="59"/>
        <item m="1" x="54"/>
        <item m="1" x="55"/>
        <item m="1" x="56"/>
        <item m="1" x="57"/>
        <item m="1" x="40"/>
        <item x="15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1">
        <item m="1" x="26"/>
        <item m="1" x="20"/>
        <item m="1" x="28"/>
        <item m="1" x="18"/>
        <item m="1" x="9"/>
        <item m="1" x="10"/>
        <item m="1" x="11"/>
        <item m="1" x="5"/>
        <item m="1" x="3"/>
        <item m="1" x="14"/>
        <item m="1" x="23"/>
        <item m="1" x="19"/>
        <item m="1" x="13"/>
        <item m="1" x="15"/>
        <item m="1" x="21"/>
        <item m="1" x="16"/>
        <item m="1" x="17"/>
        <item m="1" x="27"/>
        <item m="1" x="25"/>
        <item m="1" x="12"/>
        <item m="1" x="8"/>
        <item m="1" x="6"/>
        <item m="1" x="4"/>
        <item m="1" x="29"/>
        <item x="0"/>
        <item m="1" x="7"/>
        <item h="1" m="1" x="22"/>
        <item m="1" x="24"/>
        <item m="1" x="2"/>
        <item h="1" x="1"/>
        <item t="default"/>
      </items>
    </pivotField>
    <pivotField axis="axisRow" outline="0" showAll="0" defaultSubtotal="0">
      <items count="50">
        <item m="1" x="20"/>
        <item m="1" x="41"/>
        <item m="1" x="3"/>
        <item m="1" x="7"/>
        <item m="1" x="46"/>
        <item m="1" x="31"/>
        <item m="1" x="36"/>
        <item m="1" x="5"/>
        <item m="1" x="8"/>
        <item m="1" x="21"/>
        <item m="1" x="17"/>
        <item m="1" x="42"/>
        <item m="1" x="9"/>
        <item m="1" x="28"/>
        <item m="1" x="22"/>
        <item m="1" x="14"/>
        <item m="1" x="47"/>
        <item m="1" x="40"/>
        <item m="1" x="10"/>
        <item m="1" x="35"/>
        <item m="1" x="33"/>
        <item m="1" x="32"/>
        <item m="1" x="29"/>
        <item m="1" x="37"/>
        <item m="1" x="18"/>
        <item m="1" x="26"/>
        <item m="1" x="11"/>
        <item m="1" x="15"/>
        <item m="1" x="43"/>
        <item m="1" x="25"/>
        <item m="1" x="44"/>
        <item m="1" x="27"/>
        <item m="1" x="23"/>
        <item m="1" x="19"/>
        <item m="1" x="24"/>
        <item m="1" x="13"/>
        <item x="0"/>
        <item m="1" x="45"/>
        <item m="1" x="6"/>
        <item m="1" x="4"/>
        <item m="1" x="16"/>
        <item m="1" x="48"/>
        <item m="1" x="30"/>
        <item m="1" x="39"/>
        <item m="1" x="49"/>
        <item m="1" x="12"/>
        <item m="1" x="38"/>
        <item m="1" x="34"/>
        <item m="1" x="2"/>
        <item x="1"/>
      </items>
    </pivotField>
    <pivotField showAll="0"/>
    <pivotField showAll="0"/>
    <pivotField showAll="0"/>
    <pivotField axis="axisRow" outline="0" showAll="0" defaultSubtotal="0">
      <items count="52">
        <item m="1" x="31"/>
        <item m="1" x="34"/>
        <item m="1" x="37"/>
        <item m="1" x="48"/>
        <item m="1" x="11"/>
        <item m="1" x="30"/>
        <item m="1" x="42"/>
        <item m="1" x="28"/>
        <item m="1" x="47"/>
        <item m="1" x="36"/>
        <item m="1" x="9"/>
        <item m="1" x="6"/>
        <item m="1" x="35"/>
        <item m="1" x="40"/>
        <item x="1"/>
        <item m="1" x="29"/>
        <item m="1" x="17"/>
        <item m="1" x="12"/>
        <item m="1" x="46"/>
        <item x="2"/>
        <item m="1" x="7"/>
        <item m="1" x="4"/>
        <item m="1" x="20"/>
        <item m="1" x="19"/>
        <item m="1" x="18"/>
        <item m="1" x="45"/>
        <item m="1" x="32"/>
        <item m="1" x="8"/>
        <item m="1" x="14"/>
        <item m="1" x="26"/>
        <item m="1" x="38"/>
        <item m="1" x="41"/>
        <item m="1" x="24"/>
        <item m="1" x="13"/>
        <item m="1" x="22"/>
        <item m="1" x="21"/>
        <item x="0"/>
        <item m="1" x="23"/>
        <item m="1" x="43"/>
        <item m="1" x="5"/>
        <item m="1" x="27"/>
        <item m="1" x="44"/>
        <item m="1" x="39"/>
        <item m="1" x="15"/>
        <item m="1" x="25"/>
        <item m="1" x="33"/>
        <item m="1" x="16"/>
        <item m="1" x="10"/>
        <item m="1" x="51"/>
        <item m="1" x="49"/>
        <item m="1" x="50"/>
        <item x="3"/>
      </items>
    </pivotField>
    <pivotField dataField="1" showAll="0"/>
    <pivotField showAll="0"/>
    <pivotField axis="axisRow" outline="0" showAll="0">
      <items count="5">
        <item x="0"/>
        <item x="1"/>
        <item x="2"/>
        <item h="1" x="3"/>
        <item t="default"/>
      </items>
    </pivotField>
    <pivotField showAll="0"/>
  </pivotFields>
  <rowFields count="5">
    <field x="9"/>
    <field x="17"/>
    <field x="10"/>
    <field x="0"/>
    <field x="14"/>
  </rowFields>
  <rowItems count="20">
    <i>
      <x v="24"/>
      <x/>
      <x v="36"/>
      <x v="9"/>
      <x v="36"/>
    </i>
    <i r="3">
      <x v="11"/>
      <x v="36"/>
    </i>
    <i r="3">
      <x v="15"/>
      <x v="36"/>
    </i>
    <i r="3">
      <x v="20"/>
      <x v="36"/>
    </i>
    <i r="3">
      <x v="21"/>
      <x v="36"/>
    </i>
    <i t="default" r="1">
      <x/>
    </i>
    <i r="1">
      <x v="1"/>
      <x v="36"/>
      <x v="25"/>
      <x v="36"/>
    </i>
    <i r="3">
      <x v="30"/>
      <x v="36"/>
    </i>
    <i r="3">
      <x v="32"/>
      <x v="36"/>
    </i>
    <i r="3">
      <x v="34"/>
      <x v="36"/>
    </i>
    <i t="default" r="1">
      <x v="1"/>
    </i>
    <i r="1">
      <x v="2"/>
      <x v="36"/>
      <x v="36"/>
      <x v="36"/>
    </i>
    <i r="3">
      <x v="39"/>
      <x v="14"/>
    </i>
    <i r="3">
      <x v="40"/>
      <x v="19"/>
    </i>
    <i r="3">
      <x v="43"/>
      <x v="19"/>
    </i>
    <i r="3">
      <x v="44"/>
      <x v="19"/>
    </i>
    <i r="3">
      <x v="45"/>
      <x v="36"/>
    </i>
    <i t="default" r="1">
      <x v="2"/>
    </i>
    <i t="default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9" numFmtId="164"/>
    <dataField name="Soma de Total Cost" fld="15" baseField="14" baseItem="9" numFmtId="165"/>
  </dataFields>
  <formats count="3">
    <format dxfId="3">
      <pivotArea dataOnly="0" outline="0" fieldPosition="0">
        <references count="1">
          <reference field="9" count="0" defaultSubtotal="1"/>
        </references>
      </pivotArea>
    </format>
    <format dxfId="4">
      <pivotArea dataOnly="0" outline="0" fieldPosition="0">
        <references count="1">
          <reference field="17" count="0" defaultSubtotal="1"/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88AB9ED4-D923-40BE-9881-4941CBA43DEA}" autoFormatId="16" applyNumberFormats="0" applyBorderFormats="0" applyFontFormats="0" applyPatternFormats="0" applyAlignmentFormats="0" applyWidthHeightFormats="0">
  <queryTableRefresh nextId="26" unboundColumnsRight="1">
    <queryTableFields count="19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2" dataBound="0" tableColumnId="22"/>
      <queryTableField id="21" dataBound="0" tableColumnId="21"/>
      <queryTableField id="16" name="Customer Name" tableColumnId="16"/>
      <queryTableField id="17" name="Invoiced Date" tableColumnId="17"/>
      <queryTableField id="25" dataBound="0" tableColumnId="25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CFDAFE-D9F1-4766-A547-F8B621244973}" name="ApprovedTimeReport_001_202508" displayName="ApprovedTimeReport_001_202508" ref="A1:S43" tableType="queryTable" totalsRowShown="0">
  <autoFilter ref="A1:S43" xr:uid="{70CFDAFE-D9F1-4766-A547-F8B621244973}"/>
  <sortState xmlns:xlrd2="http://schemas.microsoft.com/office/spreadsheetml/2017/richdata2" ref="A2:R43">
    <sortCondition ref="Q2:Q43"/>
    <sortCondition ref="A2:A43"/>
    <sortCondition ref="K2:K43"/>
    <sortCondition ref="B2:B43"/>
  </sortState>
  <tableColumns count="19">
    <tableColumn id="1" xr3:uid="{6F83B9CF-3BF3-4033-BAA9-7BF89EC1267D}" uniqueName="1" name="FunnelID" queryTableFieldId="1" dataDxfId="15"/>
    <tableColumn id="2" xr3:uid="{6EE16D03-CBD1-47C2-B892-2C7EA18B2B6E}" uniqueName="2" name="Work Date" queryTableFieldId="2" dataDxfId="14"/>
    <tableColumn id="3" xr3:uid="{9138E23E-1605-478B-8B62-5C0BE6B2E718}" uniqueName="3" name="Date TimeSheet" queryTableFieldId="3" dataDxfId="13"/>
    <tableColumn id="4" xr3:uid="{3C91BBDE-8D25-4B91-865E-1C142EABF4B5}" uniqueName="4" name="CCID" queryTableFieldId="4" dataDxfId="12"/>
    <tableColumn id="5" xr3:uid="{7B30E331-9E4D-4227-8E06-72262874A6B4}" uniqueName="5" name="Year" queryTableFieldId="5"/>
    <tableColumn id="6" xr3:uid="{C0EBF9BC-C08B-4505-8AA9-14C29655ACFE}" uniqueName="6" name="Month" queryTableFieldId="6"/>
    <tableColumn id="7" xr3:uid="{FC943178-104E-4029-B48D-CD00BCB6B4D5}" uniqueName="7" name="Day" queryTableFieldId="7"/>
    <tableColumn id="8" xr3:uid="{7ABC5315-3BB4-4DFF-BEFB-C76D0C68C51D}" uniqueName="8" name="Week" queryTableFieldId="8"/>
    <tableColumn id="9" xr3:uid="{3B8A2795-C784-4C7D-AA25-EEF03AE55325}" uniqueName="9" name="Time Actual" queryTableFieldId="9"/>
    <tableColumn id="10" xr3:uid="{137A84D1-1012-449D-AEE3-114B85BC9583}" uniqueName="10" name="Company" queryTableFieldId="10" dataDxfId="11"/>
    <tableColumn id="11" xr3:uid="{0CDCBF8E-76AA-4EBD-A747-051479141CC5}" uniqueName="11" name="Resource Name" queryTableFieldId="11" dataDxfId="10"/>
    <tableColumn id="12" xr3:uid="{9E17CEEE-7413-46B9-BFAA-5E9F0160D8BB}" uniqueName="12" name="Role" queryTableFieldId="12" dataDxfId="9"/>
    <tableColumn id="13" xr3:uid="{6B548413-39AC-4B3F-ABC3-75E133D5F5BD}" uniqueName="13" name="Comments" queryTableFieldId="13" dataDxfId="8"/>
    <tableColumn id="14" xr3:uid="{BC59DDFB-C449-45FA-A21B-8D46201585A2}" uniqueName="14" name="CostRate" queryTableFieldId="14" dataCellStyle="Vírgula"/>
    <tableColumn id="22" xr3:uid="{4137C820-943C-4A57-8207-C039FA151B2A}" uniqueName="22" name="CostRate w/ Taxes" queryTableFieldId="22" dataCellStyle="Vírgula">
      <calculatedColumnFormula>ApprovedTimeReport_001_202508[[#This Row],[CostRate]]/0.9075</calculatedColumnFormula>
    </tableColumn>
    <tableColumn id="21" xr3:uid="{995FF318-8420-49D0-9434-F5C6674BBDF4}" uniqueName="21" name="Total Cost" queryTableFieldId="21" dataCellStyle="Vírgula">
      <calculatedColumnFormula>ApprovedTimeReport_001_202508[[#This Row],[CostRate w/ Taxes]]*ApprovedTimeReport_001_202508[[#This Row],[Time Actual]]</calculatedColumnFormula>
    </tableColumn>
    <tableColumn id="16" xr3:uid="{AB23B437-B9ED-47F1-91E3-C143E14A8623}" uniqueName="16" name="Customer Name" queryTableFieldId="16" dataDxfId="7"/>
    <tableColumn id="17" xr3:uid="{066E6A18-8DC1-404E-9C69-3D9DDA62A8E2}" uniqueName="17" name="Project Type" queryTableFieldId="17" dataDxfId="6"/>
    <tableColumn id="25" xr3:uid="{31AE47C0-EB37-49C5-938C-B507E4F867CD}" uniqueName="25" name="Additional Comment" queryTableFieldId="25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3B81-39CD-4EEC-A119-F71DB202B02F}">
  <dimension ref="A3:H292"/>
  <sheetViews>
    <sheetView tabSelected="1" workbookViewId="0">
      <selection activeCell="G21" sqref="G21:H21"/>
    </sheetView>
  </sheetViews>
  <sheetFormatPr defaultRowHeight="15" x14ac:dyDescent="0.25"/>
  <cols>
    <col min="1" max="1" width="18.42578125" bestFit="1" customWidth="1"/>
    <col min="2" max="2" width="14.42578125" bestFit="1" customWidth="1"/>
    <col min="3" max="3" width="17.7109375" bestFit="1" customWidth="1"/>
    <col min="4" max="4" width="25.85546875" bestFit="1" customWidth="1"/>
    <col min="5" max="5" width="20.140625" style="3" bestFit="1" customWidth="1"/>
    <col min="6" max="6" width="19.85546875" bestFit="1" customWidth="1"/>
    <col min="7" max="7" width="18.5703125" bestFit="1" customWidth="1"/>
  </cols>
  <sheetData>
    <row r="3" spans="1:8" x14ac:dyDescent="0.25">
      <c r="A3" s="5" t="s">
        <v>204</v>
      </c>
      <c r="B3" s="5" t="s">
        <v>132</v>
      </c>
      <c r="C3" s="5" t="s">
        <v>10</v>
      </c>
      <c r="D3" s="5" t="s">
        <v>0</v>
      </c>
      <c r="E3" s="5" t="s">
        <v>130</v>
      </c>
      <c r="F3" t="s">
        <v>206</v>
      </c>
      <c r="G3" t="s">
        <v>207</v>
      </c>
    </row>
    <row r="4" spans="1:8" x14ac:dyDescent="0.25">
      <c r="A4" t="s">
        <v>29</v>
      </c>
      <c r="B4" t="s">
        <v>134</v>
      </c>
      <c r="C4" t="s">
        <v>30</v>
      </c>
      <c r="D4" t="s">
        <v>37</v>
      </c>
      <c r="E4">
        <v>173.00275482093664</v>
      </c>
      <c r="F4" s="6">
        <v>2</v>
      </c>
      <c r="G4" s="10">
        <v>346.00550964187329</v>
      </c>
    </row>
    <row r="5" spans="1:8" x14ac:dyDescent="0.25">
      <c r="D5" t="s">
        <v>43</v>
      </c>
      <c r="E5">
        <v>173.00275482093664</v>
      </c>
      <c r="F5" s="6">
        <v>1</v>
      </c>
      <c r="G5" s="10">
        <v>173.00275482093664</v>
      </c>
    </row>
    <row r="6" spans="1:8" x14ac:dyDescent="0.25">
      <c r="D6" t="s">
        <v>62</v>
      </c>
      <c r="E6">
        <v>173.00275482093664</v>
      </c>
      <c r="F6" s="6">
        <v>2</v>
      </c>
      <c r="G6" s="10">
        <v>346.00550964187329</v>
      </c>
    </row>
    <row r="7" spans="1:8" x14ac:dyDescent="0.25">
      <c r="D7" t="s">
        <v>41</v>
      </c>
      <c r="E7">
        <v>173.00275482093664</v>
      </c>
      <c r="F7" s="6">
        <v>4</v>
      </c>
      <c r="G7" s="10">
        <v>692.01101928374658</v>
      </c>
    </row>
    <row r="8" spans="1:8" x14ac:dyDescent="0.25">
      <c r="D8" t="s">
        <v>44</v>
      </c>
      <c r="E8">
        <v>173.00275482093664</v>
      </c>
      <c r="F8" s="6">
        <v>1</v>
      </c>
      <c r="G8" s="10">
        <v>173.00275482093664</v>
      </c>
    </row>
    <row r="9" spans="1:8" x14ac:dyDescent="0.25">
      <c r="B9" s="8" t="s">
        <v>211</v>
      </c>
      <c r="C9" s="8"/>
      <c r="D9" s="8"/>
      <c r="E9" s="8"/>
      <c r="F9" s="9">
        <v>10</v>
      </c>
      <c r="G9" s="11">
        <v>1730.0275482093664</v>
      </c>
      <c r="H9" t="s">
        <v>212</v>
      </c>
    </row>
    <row r="10" spans="1:8" x14ac:dyDescent="0.25">
      <c r="B10" t="s">
        <v>142</v>
      </c>
      <c r="C10" t="s">
        <v>30</v>
      </c>
      <c r="D10" t="s">
        <v>48</v>
      </c>
      <c r="E10">
        <v>173.00275482093664</v>
      </c>
      <c r="F10" s="6">
        <v>2</v>
      </c>
      <c r="G10" s="10">
        <v>346.00550964187329</v>
      </c>
    </row>
    <row r="11" spans="1:8" x14ac:dyDescent="0.25">
      <c r="D11" t="s">
        <v>34</v>
      </c>
      <c r="E11">
        <v>173.00275482093664</v>
      </c>
      <c r="F11" s="6">
        <v>1</v>
      </c>
      <c r="G11" s="10">
        <v>173.00275482093664</v>
      </c>
    </row>
    <row r="12" spans="1:8" x14ac:dyDescent="0.25">
      <c r="D12" t="s">
        <v>82</v>
      </c>
      <c r="E12">
        <v>173.00275482093664</v>
      </c>
      <c r="F12" s="6">
        <v>1</v>
      </c>
      <c r="G12" s="10">
        <v>173.00275482093664</v>
      </c>
    </row>
    <row r="13" spans="1:8" x14ac:dyDescent="0.25">
      <c r="D13" t="s">
        <v>70</v>
      </c>
      <c r="E13">
        <v>173.00275482093664</v>
      </c>
      <c r="F13" s="6">
        <v>1</v>
      </c>
      <c r="G13" s="10">
        <v>173.00275482093664</v>
      </c>
    </row>
    <row r="14" spans="1:8" x14ac:dyDescent="0.25">
      <c r="B14" s="8" t="s">
        <v>210</v>
      </c>
      <c r="C14" s="8"/>
      <c r="D14" s="8"/>
      <c r="E14" s="8"/>
      <c r="F14" s="9">
        <v>5</v>
      </c>
      <c r="G14" s="11">
        <v>865.01377410468319</v>
      </c>
      <c r="H14" t="s">
        <v>213</v>
      </c>
    </row>
    <row r="15" spans="1:8" x14ac:dyDescent="0.25">
      <c r="B15" t="s">
        <v>139</v>
      </c>
      <c r="C15" t="s">
        <v>30</v>
      </c>
      <c r="D15" t="s">
        <v>112</v>
      </c>
      <c r="E15">
        <v>173.00275482093664</v>
      </c>
      <c r="F15" s="6">
        <v>2</v>
      </c>
      <c r="G15" s="10">
        <v>346.00550964187329</v>
      </c>
    </row>
    <row r="16" spans="1:8" x14ac:dyDescent="0.25">
      <c r="D16" t="s">
        <v>67</v>
      </c>
      <c r="E16">
        <v>95.239669421487619</v>
      </c>
      <c r="F16" s="6">
        <v>24</v>
      </c>
      <c r="G16" s="10">
        <v>2285.7520661157027</v>
      </c>
    </row>
    <row r="17" spans="1:8" x14ac:dyDescent="0.25">
      <c r="D17" t="s">
        <v>20</v>
      </c>
      <c r="E17">
        <v>110.00550964187327</v>
      </c>
      <c r="F17" s="6">
        <v>114</v>
      </c>
      <c r="G17" s="10">
        <v>12540.628099173553</v>
      </c>
    </row>
    <row r="18" spans="1:8" x14ac:dyDescent="0.25">
      <c r="D18" t="s">
        <v>68</v>
      </c>
      <c r="E18">
        <v>110.00550964187327</v>
      </c>
      <c r="F18" s="6">
        <v>8</v>
      </c>
      <c r="G18" s="10">
        <v>880.0440771349862</v>
      </c>
    </row>
    <row r="19" spans="1:8" x14ac:dyDescent="0.25">
      <c r="D19" t="s">
        <v>58</v>
      </c>
      <c r="E19">
        <v>110.00550964187327</v>
      </c>
      <c r="F19" s="6">
        <v>2</v>
      </c>
      <c r="G19" s="10">
        <v>220.01101928374655</v>
      </c>
    </row>
    <row r="20" spans="1:8" x14ac:dyDescent="0.25">
      <c r="D20" t="s">
        <v>106</v>
      </c>
      <c r="E20">
        <v>173.00275482093664</v>
      </c>
      <c r="F20" s="6">
        <v>1</v>
      </c>
      <c r="G20" s="10">
        <v>173.00275482093664</v>
      </c>
    </row>
    <row r="21" spans="1:8" x14ac:dyDescent="0.25">
      <c r="B21" s="8" t="s">
        <v>209</v>
      </c>
      <c r="C21" s="8"/>
      <c r="D21" s="8"/>
      <c r="E21" s="8"/>
      <c r="F21" s="9">
        <v>151</v>
      </c>
      <c r="G21" s="11">
        <v>16445.443526170799</v>
      </c>
      <c r="H21" t="s">
        <v>214</v>
      </c>
    </row>
    <row r="22" spans="1:8" x14ac:dyDescent="0.25">
      <c r="A22" s="4" t="s">
        <v>208</v>
      </c>
      <c r="B22" s="4"/>
      <c r="C22" s="4"/>
      <c r="D22" s="4"/>
      <c r="E22" s="4"/>
      <c r="F22" s="7">
        <v>166</v>
      </c>
      <c r="G22" s="12">
        <v>19040.484848484848</v>
      </c>
    </row>
    <row r="23" spans="1:8" x14ac:dyDescent="0.25">
      <c r="A23" t="s">
        <v>205</v>
      </c>
      <c r="E23"/>
      <c r="F23" s="6">
        <v>166</v>
      </c>
      <c r="G23" s="10">
        <v>19040.484848484848</v>
      </c>
    </row>
    <row r="24" spans="1:8" x14ac:dyDescent="0.25">
      <c r="E24"/>
    </row>
    <row r="25" spans="1:8" x14ac:dyDescent="0.25">
      <c r="E25"/>
    </row>
    <row r="26" spans="1:8" x14ac:dyDescent="0.25">
      <c r="E26"/>
    </row>
    <row r="27" spans="1:8" x14ac:dyDescent="0.25">
      <c r="E27"/>
    </row>
    <row r="28" spans="1:8" x14ac:dyDescent="0.25">
      <c r="E28"/>
    </row>
    <row r="29" spans="1:8" x14ac:dyDescent="0.25">
      <c r="E29"/>
    </row>
    <row r="30" spans="1:8" x14ac:dyDescent="0.25">
      <c r="E30"/>
    </row>
    <row r="31" spans="1:8" x14ac:dyDescent="0.25">
      <c r="E31"/>
    </row>
    <row r="32" spans="1:8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9344-7CE0-4BA2-B368-E6E8F6298867}">
  <dimension ref="A1:S43"/>
  <sheetViews>
    <sheetView workbookViewId="0">
      <selection activeCell="A2" sqref="A2:XFD1381"/>
    </sheetView>
  </sheetViews>
  <sheetFormatPr defaultRowHeight="15" x14ac:dyDescent="0.25"/>
  <cols>
    <col min="1" max="1" width="22" bestFit="1" customWidth="1"/>
    <col min="2" max="2" width="11.7109375" customWidth="1"/>
    <col min="3" max="3" width="16.42578125" customWidth="1"/>
    <col min="4" max="4" width="7.42578125" customWidth="1"/>
    <col min="5" max="5" width="6.85546875" customWidth="1"/>
    <col min="6" max="6" width="8.28515625" customWidth="1"/>
    <col min="7" max="7" width="6.28515625" customWidth="1"/>
    <col min="8" max="8" width="7.85546875" customWidth="1"/>
    <col min="9" max="9" width="13" customWidth="1"/>
    <col min="10" max="10" width="25.7109375" customWidth="1"/>
    <col min="11" max="11" width="19.85546875" customWidth="1"/>
    <col min="12" max="12" width="15.28515625" customWidth="1"/>
    <col min="13" max="13" width="80.85546875" customWidth="1"/>
    <col min="14" max="16" width="10.7109375" customWidth="1"/>
    <col min="17" max="17" width="35.140625" bestFit="1" customWidth="1"/>
    <col min="18" max="18" width="16.42578125" bestFit="1" customWidth="1"/>
    <col min="19" max="19" width="55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130</v>
      </c>
      <c r="P1" t="s">
        <v>131</v>
      </c>
      <c r="Q1" t="s">
        <v>14</v>
      </c>
      <c r="R1" t="s">
        <v>132</v>
      </c>
      <c r="S1" t="s">
        <v>203</v>
      </c>
    </row>
    <row r="2" spans="1:19" x14ac:dyDescent="0.25">
      <c r="A2" t="s">
        <v>43</v>
      </c>
      <c r="B2" s="1">
        <v>45638</v>
      </c>
      <c r="C2" s="1">
        <v>45642</v>
      </c>
      <c r="D2" t="s">
        <v>16</v>
      </c>
      <c r="E2">
        <v>2024</v>
      </c>
      <c r="F2">
        <v>12</v>
      </c>
      <c r="G2">
        <v>12</v>
      </c>
      <c r="H2">
        <v>50</v>
      </c>
      <c r="I2">
        <v>1</v>
      </c>
      <c r="J2" t="s">
        <v>29</v>
      </c>
      <c r="K2" t="s">
        <v>30</v>
      </c>
      <c r="L2" t="s">
        <v>17</v>
      </c>
      <c r="M2" t="s">
        <v>109</v>
      </c>
      <c r="N2" s="3">
        <v>157</v>
      </c>
      <c r="O2" s="3">
        <f>ApprovedTimeReport_001_202508[[#This Row],[CostRate]]/0.9075</f>
        <v>173.00275482093664</v>
      </c>
      <c r="P2" s="3">
        <f>ApprovedTimeReport_001_202508[[#This Row],[CostRate w/ Taxes]]*ApprovedTimeReport_001_202508[[#This Row],[Time Actual]]</f>
        <v>173.00275482093664</v>
      </c>
      <c r="Q2" t="s">
        <v>24</v>
      </c>
      <c r="R2" s="2" t="str">
        <f>VLOOKUP(A:A,Vlookup!A:B,2,0)</f>
        <v>FF</v>
      </c>
      <c r="S2" s="3"/>
    </row>
    <row r="3" spans="1:19" x14ac:dyDescent="0.25">
      <c r="A3" t="s">
        <v>41</v>
      </c>
      <c r="B3" s="1">
        <v>45631</v>
      </c>
      <c r="C3" s="1">
        <v>45635</v>
      </c>
      <c r="D3" t="s">
        <v>16</v>
      </c>
      <c r="E3">
        <v>2024</v>
      </c>
      <c r="F3">
        <v>12</v>
      </c>
      <c r="G3">
        <v>5</v>
      </c>
      <c r="H3">
        <v>49</v>
      </c>
      <c r="I3">
        <v>2</v>
      </c>
      <c r="J3" t="s">
        <v>29</v>
      </c>
      <c r="K3" t="s">
        <v>30</v>
      </c>
      <c r="L3" t="s">
        <v>26</v>
      </c>
      <c r="M3" t="s">
        <v>123</v>
      </c>
      <c r="N3" s="3">
        <v>157</v>
      </c>
      <c r="O3" s="3">
        <f>ApprovedTimeReport_001_202508[[#This Row],[CostRate]]/0.9075</f>
        <v>173.00275482093664</v>
      </c>
      <c r="P3" s="3">
        <f>ApprovedTimeReport_001_202508[[#This Row],[CostRate w/ Taxes]]*ApprovedTimeReport_001_202508[[#This Row],[Time Actual]]</f>
        <v>346.00550964187329</v>
      </c>
      <c r="Q3" t="s">
        <v>27</v>
      </c>
      <c r="R3" s="2" t="str">
        <f>VLOOKUP(A:A,Vlookup!A:B,2,0)</f>
        <v>FF</v>
      </c>
      <c r="S3" s="3"/>
    </row>
    <row r="4" spans="1:19" x14ac:dyDescent="0.25">
      <c r="A4" t="s">
        <v>41</v>
      </c>
      <c r="B4" s="1">
        <v>45644</v>
      </c>
      <c r="C4" s="1">
        <v>45649</v>
      </c>
      <c r="D4" t="s">
        <v>16</v>
      </c>
      <c r="E4">
        <v>2024</v>
      </c>
      <c r="F4">
        <v>12</v>
      </c>
      <c r="G4">
        <v>18</v>
      </c>
      <c r="H4">
        <v>51</v>
      </c>
      <c r="I4">
        <v>2</v>
      </c>
      <c r="J4" t="s">
        <v>29</v>
      </c>
      <c r="K4" t="s">
        <v>30</v>
      </c>
      <c r="L4" t="s">
        <v>26</v>
      </c>
      <c r="M4" t="s">
        <v>93</v>
      </c>
      <c r="N4" s="3">
        <v>157</v>
      </c>
      <c r="O4" s="3">
        <f>ApprovedTimeReport_001_202508[[#This Row],[CostRate]]/0.9075</f>
        <v>173.00275482093664</v>
      </c>
      <c r="P4" s="3">
        <f>ApprovedTimeReport_001_202508[[#This Row],[CostRate w/ Taxes]]*ApprovedTimeReport_001_202508[[#This Row],[Time Actual]]</f>
        <v>346.00550964187329</v>
      </c>
      <c r="Q4" t="s">
        <v>27</v>
      </c>
      <c r="R4" s="2" t="str">
        <f>VLOOKUP(A:A,Vlookup!A:B,2,0)</f>
        <v>FF</v>
      </c>
      <c r="S4" s="3"/>
    </row>
    <row r="5" spans="1:19" x14ac:dyDescent="0.25">
      <c r="A5" t="s">
        <v>34</v>
      </c>
      <c r="B5" s="1">
        <v>45652</v>
      </c>
      <c r="C5" s="1">
        <v>45656</v>
      </c>
      <c r="D5" t="s">
        <v>16</v>
      </c>
      <c r="E5">
        <v>2024</v>
      </c>
      <c r="F5">
        <v>12</v>
      </c>
      <c r="G5">
        <v>26</v>
      </c>
      <c r="H5">
        <v>52</v>
      </c>
      <c r="I5">
        <v>1</v>
      </c>
      <c r="J5" t="s">
        <v>29</v>
      </c>
      <c r="K5" t="s">
        <v>30</v>
      </c>
      <c r="L5" t="s">
        <v>17</v>
      </c>
      <c r="M5" t="s">
        <v>74</v>
      </c>
      <c r="N5" s="3">
        <v>157</v>
      </c>
      <c r="O5" s="3">
        <f>ApprovedTimeReport_001_202508[[#This Row],[CostRate]]/0.9075</f>
        <v>173.00275482093664</v>
      </c>
      <c r="P5" s="3">
        <f>ApprovedTimeReport_001_202508[[#This Row],[CostRate w/ Taxes]]*ApprovedTimeReport_001_202508[[#This Row],[Time Actual]]</f>
        <v>173.00275482093664</v>
      </c>
      <c r="Q5" t="s">
        <v>27</v>
      </c>
      <c r="R5" s="2" t="str">
        <f>VLOOKUP(A:A,Vlookup!A:B,2,0)</f>
        <v>T&amp;M</v>
      </c>
      <c r="S5" s="3"/>
    </row>
    <row r="6" spans="1:19" x14ac:dyDescent="0.25">
      <c r="A6" t="s">
        <v>112</v>
      </c>
      <c r="B6" s="1">
        <v>45637</v>
      </c>
      <c r="C6" s="1">
        <v>45642</v>
      </c>
      <c r="D6" t="s">
        <v>16</v>
      </c>
      <c r="E6">
        <v>2024</v>
      </c>
      <c r="F6">
        <v>12</v>
      </c>
      <c r="G6">
        <v>11</v>
      </c>
      <c r="H6">
        <v>50</v>
      </c>
      <c r="I6">
        <v>2</v>
      </c>
      <c r="J6" t="s">
        <v>29</v>
      </c>
      <c r="K6" t="s">
        <v>30</v>
      </c>
      <c r="L6" t="s">
        <v>17</v>
      </c>
      <c r="M6" t="s">
        <v>113</v>
      </c>
      <c r="N6" s="3">
        <v>157</v>
      </c>
      <c r="O6" s="3">
        <f>ApprovedTimeReport_001_202508[[#This Row],[CostRate]]/0.9075</f>
        <v>173.00275482093664</v>
      </c>
      <c r="P6" s="3">
        <f>ApprovedTimeReport_001_202508[[#This Row],[CostRate w/ Taxes]]*ApprovedTimeReport_001_202508[[#This Row],[Time Actual]]</f>
        <v>346.00550964187329</v>
      </c>
      <c r="Q6" t="s">
        <v>27</v>
      </c>
      <c r="R6" s="2" t="str">
        <f>VLOOKUP(A:A,Vlookup!A:B,2,0)</f>
        <v>NB</v>
      </c>
      <c r="S6" s="3"/>
    </row>
    <row r="7" spans="1:19" x14ac:dyDescent="0.25">
      <c r="A7" t="s">
        <v>70</v>
      </c>
      <c r="B7" s="1">
        <v>45631</v>
      </c>
      <c r="C7" s="1">
        <v>45635</v>
      </c>
      <c r="D7" t="s">
        <v>16</v>
      </c>
      <c r="E7">
        <v>2024</v>
      </c>
      <c r="F7">
        <v>12</v>
      </c>
      <c r="G7">
        <v>5</v>
      </c>
      <c r="H7">
        <v>49</v>
      </c>
      <c r="I7">
        <v>1</v>
      </c>
      <c r="J7" t="s">
        <v>29</v>
      </c>
      <c r="K7" t="s">
        <v>30</v>
      </c>
      <c r="L7" t="s">
        <v>17</v>
      </c>
      <c r="M7" t="s">
        <v>120</v>
      </c>
      <c r="N7" s="3">
        <v>157</v>
      </c>
      <c r="O7" s="3">
        <f>ApprovedTimeReport_001_202508[[#This Row],[CostRate]]/0.9075</f>
        <v>173.00275482093664</v>
      </c>
      <c r="P7" s="3">
        <f>ApprovedTimeReport_001_202508[[#This Row],[CostRate w/ Taxes]]*ApprovedTimeReport_001_202508[[#This Row],[Time Actual]]</f>
        <v>173.00275482093664</v>
      </c>
      <c r="Q7" t="s">
        <v>54</v>
      </c>
      <c r="R7" s="2" t="str">
        <f>VLOOKUP(A:A,Vlookup!A:B,2,0)</f>
        <v>T&amp;M</v>
      </c>
      <c r="S7" s="3"/>
    </row>
    <row r="8" spans="1:19" x14ac:dyDescent="0.25">
      <c r="A8" t="s">
        <v>62</v>
      </c>
      <c r="B8" s="1">
        <v>45631</v>
      </c>
      <c r="C8" s="1">
        <v>45635</v>
      </c>
      <c r="D8" t="s">
        <v>16</v>
      </c>
      <c r="E8">
        <v>2024</v>
      </c>
      <c r="F8">
        <v>12</v>
      </c>
      <c r="G8">
        <v>5</v>
      </c>
      <c r="H8">
        <v>49</v>
      </c>
      <c r="I8">
        <v>1</v>
      </c>
      <c r="J8" t="s">
        <v>29</v>
      </c>
      <c r="K8" t="s">
        <v>30</v>
      </c>
      <c r="L8" t="s">
        <v>26</v>
      </c>
      <c r="M8" t="s">
        <v>122</v>
      </c>
      <c r="N8" s="3">
        <v>157</v>
      </c>
      <c r="O8" s="3">
        <f>ApprovedTimeReport_001_202508[[#This Row],[CostRate]]/0.9075</f>
        <v>173.00275482093664</v>
      </c>
      <c r="P8" s="3">
        <f>ApprovedTimeReport_001_202508[[#This Row],[CostRate w/ Taxes]]*ApprovedTimeReport_001_202508[[#This Row],[Time Actual]]</f>
        <v>173.00275482093664</v>
      </c>
      <c r="Q8" t="s">
        <v>63</v>
      </c>
      <c r="R8" s="2" t="str">
        <f>VLOOKUP(A:A,Vlookup!A:B,2,0)</f>
        <v>FF</v>
      </c>
      <c r="S8" s="3"/>
    </row>
    <row r="9" spans="1:19" x14ac:dyDescent="0.25">
      <c r="A9" t="s">
        <v>62</v>
      </c>
      <c r="B9" s="1">
        <v>45644</v>
      </c>
      <c r="C9" s="1">
        <v>45649</v>
      </c>
      <c r="D9" t="s">
        <v>16</v>
      </c>
      <c r="E9">
        <v>2024</v>
      </c>
      <c r="F9">
        <v>12</v>
      </c>
      <c r="G9">
        <v>18</v>
      </c>
      <c r="H9">
        <v>51</v>
      </c>
      <c r="I9">
        <v>1</v>
      </c>
      <c r="J9" t="s">
        <v>29</v>
      </c>
      <c r="K9" t="s">
        <v>30</v>
      </c>
      <c r="L9" t="s">
        <v>26</v>
      </c>
      <c r="M9" t="s">
        <v>93</v>
      </c>
      <c r="N9" s="3">
        <v>157</v>
      </c>
      <c r="O9" s="3">
        <f>ApprovedTimeReport_001_202508[[#This Row],[CostRate]]/0.9075</f>
        <v>173.00275482093664</v>
      </c>
      <c r="P9" s="3">
        <f>ApprovedTimeReport_001_202508[[#This Row],[CostRate w/ Taxes]]*ApprovedTimeReport_001_202508[[#This Row],[Time Actual]]</f>
        <v>173.00275482093664</v>
      </c>
      <c r="Q9" t="s">
        <v>63</v>
      </c>
      <c r="R9" s="2" t="str">
        <f>VLOOKUP(A:A,Vlookup!A:B,2,0)</f>
        <v>FF</v>
      </c>
      <c r="S9" s="3"/>
    </row>
    <row r="10" spans="1:19" x14ac:dyDescent="0.25">
      <c r="A10" t="s">
        <v>82</v>
      </c>
      <c r="B10" s="1">
        <v>45635</v>
      </c>
      <c r="C10" s="1">
        <v>45642</v>
      </c>
      <c r="D10" t="s">
        <v>16</v>
      </c>
      <c r="E10">
        <v>2024</v>
      </c>
      <c r="F10">
        <v>12</v>
      </c>
      <c r="G10">
        <v>9</v>
      </c>
      <c r="H10">
        <v>50</v>
      </c>
      <c r="I10">
        <v>1</v>
      </c>
      <c r="J10" t="s">
        <v>29</v>
      </c>
      <c r="K10" t="s">
        <v>30</v>
      </c>
      <c r="L10" t="s">
        <v>17</v>
      </c>
      <c r="M10" t="s">
        <v>115</v>
      </c>
      <c r="N10" s="3">
        <v>157</v>
      </c>
      <c r="O10" s="3">
        <f>ApprovedTimeReport_001_202508[[#This Row],[CostRate]]/0.9075</f>
        <v>173.00275482093664</v>
      </c>
      <c r="P10" s="3">
        <f>ApprovedTimeReport_001_202508[[#This Row],[CostRate w/ Taxes]]*ApprovedTimeReport_001_202508[[#This Row],[Time Actual]]</f>
        <v>173.00275482093664</v>
      </c>
      <c r="Q10" t="s">
        <v>22</v>
      </c>
      <c r="R10" s="2" t="str">
        <f>VLOOKUP(A:A,Vlookup!A:B,2,0)</f>
        <v>T&amp;M</v>
      </c>
      <c r="S10" s="3"/>
    </row>
    <row r="11" spans="1:19" x14ac:dyDescent="0.25">
      <c r="A11" t="s">
        <v>44</v>
      </c>
      <c r="B11" s="1">
        <v>45629</v>
      </c>
      <c r="C11" s="1">
        <v>45635</v>
      </c>
      <c r="D11" t="s">
        <v>16</v>
      </c>
      <c r="E11">
        <v>2024</v>
      </c>
      <c r="F11">
        <v>12</v>
      </c>
      <c r="G11">
        <v>3</v>
      </c>
      <c r="H11">
        <v>49</v>
      </c>
      <c r="I11">
        <v>1</v>
      </c>
      <c r="J11" t="s">
        <v>29</v>
      </c>
      <c r="K11" t="s">
        <v>30</v>
      </c>
      <c r="L11" t="s">
        <v>17</v>
      </c>
      <c r="M11" t="s">
        <v>127</v>
      </c>
      <c r="N11" s="3">
        <v>157</v>
      </c>
      <c r="O11" s="3">
        <f>ApprovedTimeReport_001_202508[[#This Row],[CostRate]]/0.9075</f>
        <v>173.00275482093664</v>
      </c>
      <c r="P11" s="3">
        <f>ApprovedTimeReport_001_202508[[#This Row],[CostRate w/ Taxes]]*ApprovedTimeReport_001_202508[[#This Row],[Time Actual]]</f>
        <v>173.00275482093664</v>
      </c>
      <c r="Q11" t="s">
        <v>33</v>
      </c>
      <c r="R11" s="2" t="str">
        <f>VLOOKUP(A:A,Vlookup!A:B,2,0)</f>
        <v>FF</v>
      </c>
      <c r="S11" s="3"/>
    </row>
    <row r="12" spans="1:19" x14ac:dyDescent="0.25">
      <c r="A12" t="s">
        <v>48</v>
      </c>
      <c r="B12" s="1">
        <v>45644</v>
      </c>
      <c r="C12" s="1">
        <v>45649</v>
      </c>
      <c r="D12" t="s">
        <v>16</v>
      </c>
      <c r="E12">
        <v>2024</v>
      </c>
      <c r="F12">
        <v>12</v>
      </c>
      <c r="G12">
        <v>18</v>
      </c>
      <c r="H12">
        <v>51</v>
      </c>
      <c r="I12">
        <v>2</v>
      </c>
      <c r="J12" t="s">
        <v>29</v>
      </c>
      <c r="K12" t="s">
        <v>30</v>
      </c>
      <c r="L12" t="s">
        <v>17</v>
      </c>
      <c r="M12" t="s">
        <v>94</v>
      </c>
      <c r="N12" s="3">
        <v>157</v>
      </c>
      <c r="O12" s="3">
        <f>ApprovedTimeReport_001_202508[[#This Row],[CostRate]]/0.9075</f>
        <v>173.00275482093664</v>
      </c>
      <c r="P12" s="3">
        <f>ApprovedTimeReport_001_202508[[#This Row],[CostRate w/ Taxes]]*ApprovedTimeReport_001_202508[[#This Row],[Time Actual]]</f>
        <v>346.00550964187329</v>
      </c>
      <c r="Q12" t="s">
        <v>49</v>
      </c>
      <c r="R12" s="2" t="str">
        <f>VLOOKUP(A:A,Vlookup!A:B,2,0)</f>
        <v>T&amp;M</v>
      </c>
      <c r="S12" s="3"/>
    </row>
    <row r="13" spans="1:19" x14ac:dyDescent="0.25">
      <c r="A13" t="s">
        <v>67</v>
      </c>
      <c r="B13" s="1">
        <v>45642</v>
      </c>
      <c r="C13" s="1">
        <v>45649</v>
      </c>
      <c r="D13" t="s">
        <v>16</v>
      </c>
      <c r="E13">
        <v>2024</v>
      </c>
      <c r="F13">
        <v>12</v>
      </c>
      <c r="G13">
        <v>16</v>
      </c>
      <c r="H13">
        <v>51</v>
      </c>
      <c r="I13">
        <v>4</v>
      </c>
      <c r="J13" t="s">
        <v>29</v>
      </c>
      <c r="K13" t="s">
        <v>30</v>
      </c>
      <c r="L13" t="s">
        <v>26</v>
      </c>
      <c r="M13" t="s">
        <v>101</v>
      </c>
      <c r="N13" s="3">
        <v>86.43</v>
      </c>
      <c r="O13" s="3">
        <f>ApprovedTimeReport_001_202508[[#This Row],[CostRate]]/0.9075</f>
        <v>95.239669421487619</v>
      </c>
      <c r="P13" s="3">
        <f>ApprovedTimeReport_001_202508[[#This Row],[CostRate w/ Taxes]]*ApprovedTimeReport_001_202508[[#This Row],[Time Actual]]</f>
        <v>380.95867768595048</v>
      </c>
      <c r="Q13" t="s">
        <v>19</v>
      </c>
      <c r="R13" s="2" t="str">
        <f>VLOOKUP(A:A,Vlookup!A:B,2,0)</f>
        <v>NB</v>
      </c>
      <c r="S13" s="3"/>
    </row>
    <row r="14" spans="1:19" x14ac:dyDescent="0.25">
      <c r="A14" t="s">
        <v>67</v>
      </c>
      <c r="B14" s="1">
        <v>45643</v>
      </c>
      <c r="C14" s="1">
        <v>45649</v>
      </c>
      <c r="D14" t="s">
        <v>16</v>
      </c>
      <c r="E14">
        <v>2024</v>
      </c>
      <c r="F14">
        <v>12</v>
      </c>
      <c r="G14">
        <v>17</v>
      </c>
      <c r="H14">
        <v>51</v>
      </c>
      <c r="I14">
        <v>4</v>
      </c>
      <c r="J14" t="s">
        <v>29</v>
      </c>
      <c r="K14" t="s">
        <v>30</v>
      </c>
      <c r="L14" t="s">
        <v>26</v>
      </c>
      <c r="M14" t="s">
        <v>98</v>
      </c>
      <c r="N14" s="3">
        <v>86.43</v>
      </c>
      <c r="O14" s="3">
        <f>ApprovedTimeReport_001_202508[[#This Row],[CostRate]]/0.9075</f>
        <v>95.239669421487619</v>
      </c>
      <c r="P14" s="3">
        <f>ApprovedTimeReport_001_202508[[#This Row],[CostRate w/ Taxes]]*ApprovedTimeReport_001_202508[[#This Row],[Time Actual]]</f>
        <v>380.95867768595048</v>
      </c>
      <c r="Q14" t="s">
        <v>19</v>
      </c>
      <c r="R14" s="2" t="str">
        <f>VLOOKUP(A:A,Vlookup!A:B,2,0)</f>
        <v>NB</v>
      </c>
      <c r="S14" s="3"/>
    </row>
    <row r="15" spans="1:19" x14ac:dyDescent="0.25">
      <c r="A15" t="s">
        <v>67</v>
      </c>
      <c r="B15" s="1">
        <v>45644</v>
      </c>
      <c r="C15" s="1">
        <v>45649</v>
      </c>
      <c r="D15" t="s">
        <v>16</v>
      </c>
      <c r="E15">
        <v>2024</v>
      </c>
      <c r="F15">
        <v>12</v>
      </c>
      <c r="G15">
        <v>18</v>
      </c>
      <c r="H15">
        <v>51</v>
      </c>
      <c r="I15">
        <v>2</v>
      </c>
      <c r="J15" t="s">
        <v>29</v>
      </c>
      <c r="K15" t="s">
        <v>30</v>
      </c>
      <c r="L15" t="s">
        <v>26</v>
      </c>
      <c r="M15" t="s">
        <v>95</v>
      </c>
      <c r="N15" s="3">
        <v>86.43</v>
      </c>
      <c r="O15" s="3">
        <f>ApprovedTimeReport_001_202508[[#This Row],[CostRate]]/0.9075</f>
        <v>95.239669421487619</v>
      </c>
      <c r="P15" s="3">
        <f>ApprovedTimeReport_001_202508[[#This Row],[CostRate w/ Taxes]]*ApprovedTimeReport_001_202508[[#This Row],[Time Actual]]</f>
        <v>190.47933884297524</v>
      </c>
      <c r="Q15" t="s">
        <v>19</v>
      </c>
      <c r="R15" s="2" t="str">
        <f>VLOOKUP(A:A,Vlookup!A:B,2,0)</f>
        <v>NB</v>
      </c>
      <c r="S15" s="3"/>
    </row>
    <row r="16" spans="1:19" x14ac:dyDescent="0.25">
      <c r="A16" t="s">
        <v>67</v>
      </c>
      <c r="B16" s="1">
        <v>45645</v>
      </c>
      <c r="C16" s="1">
        <v>45649</v>
      </c>
      <c r="D16" t="s">
        <v>16</v>
      </c>
      <c r="E16">
        <v>2024</v>
      </c>
      <c r="F16">
        <v>12</v>
      </c>
      <c r="G16">
        <v>19</v>
      </c>
      <c r="H16">
        <v>51</v>
      </c>
      <c r="I16">
        <v>7</v>
      </c>
      <c r="J16" t="s">
        <v>29</v>
      </c>
      <c r="K16" t="s">
        <v>30</v>
      </c>
      <c r="L16" t="s">
        <v>26</v>
      </c>
      <c r="M16" t="s">
        <v>90</v>
      </c>
      <c r="N16" s="3">
        <v>86.43</v>
      </c>
      <c r="O16" s="3">
        <f>ApprovedTimeReport_001_202508[[#This Row],[CostRate]]/0.9075</f>
        <v>95.239669421487619</v>
      </c>
      <c r="P16" s="3">
        <f>ApprovedTimeReport_001_202508[[#This Row],[CostRate w/ Taxes]]*ApprovedTimeReport_001_202508[[#This Row],[Time Actual]]</f>
        <v>666.67768595041332</v>
      </c>
      <c r="Q16" t="s">
        <v>19</v>
      </c>
      <c r="R16" s="2" t="str">
        <f>VLOOKUP(A:A,Vlookup!A:B,2,0)</f>
        <v>NB</v>
      </c>
      <c r="S16" s="3"/>
    </row>
    <row r="17" spans="1:19" x14ac:dyDescent="0.25">
      <c r="A17" t="s">
        <v>67</v>
      </c>
      <c r="B17" s="1">
        <v>45649</v>
      </c>
      <c r="C17" s="1">
        <v>45656</v>
      </c>
      <c r="D17" t="s">
        <v>16</v>
      </c>
      <c r="E17">
        <v>2024</v>
      </c>
      <c r="F17">
        <v>12</v>
      </c>
      <c r="G17">
        <v>23</v>
      </c>
      <c r="H17">
        <v>52</v>
      </c>
      <c r="I17">
        <v>7</v>
      </c>
      <c r="J17" t="s">
        <v>29</v>
      </c>
      <c r="K17" t="s">
        <v>30</v>
      </c>
      <c r="L17" t="s">
        <v>26</v>
      </c>
      <c r="M17" t="s">
        <v>77</v>
      </c>
      <c r="N17" s="3">
        <v>86.43</v>
      </c>
      <c r="O17" s="3">
        <f>ApprovedTimeReport_001_202508[[#This Row],[CostRate]]/0.9075</f>
        <v>95.239669421487619</v>
      </c>
      <c r="P17" s="3">
        <f>ApprovedTimeReport_001_202508[[#This Row],[CostRate w/ Taxes]]*ApprovedTimeReport_001_202508[[#This Row],[Time Actual]]</f>
        <v>666.67768595041332</v>
      </c>
      <c r="Q17" t="s">
        <v>19</v>
      </c>
      <c r="R17" s="2" t="str">
        <f>VLOOKUP(A:A,Vlookup!A:B,2,0)</f>
        <v>NB</v>
      </c>
      <c r="S17" s="3"/>
    </row>
    <row r="18" spans="1:19" x14ac:dyDescent="0.25">
      <c r="A18" t="s">
        <v>20</v>
      </c>
      <c r="B18" s="1">
        <v>45628</v>
      </c>
      <c r="C18" s="1">
        <v>45635</v>
      </c>
      <c r="D18" t="s">
        <v>18</v>
      </c>
      <c r="E18">
        <v>2024</v>
      </c>
      <c r="F18">
        <v>12</v>
      </c>
      <c r="G18">
        <v>2</v>
      </c>
      <c r="H18">
        <v>49</v>
      </c>
      <c r="I18">
        <v>10</v>
      </c>
      <c r="J18" t="s">
        <v>29</v>
      </c>
      <c r="K18" t="s">
        <v>30</v>
      </c>
      <c r="L18" t="s">
        <v>26</v>
      </c>
      <c r="M18" t="s">
        <v>128</v>
      </c>
      <c r="N18" s="3">
        <v>99.83</v>
      </c>
      <c r="O18" s="3">
        <f>ApprovedTimeReport_001_202508[[#This Row],[CostRate]]/0.9075</f>
        <v>110.00550964187327</v>
      </c>
      <c r="P18" s="3">
        <f>ApprovedTimeReport_001_202508[[#This Row],[CostRate w/ Taxes]]*ApprovedTimeReport_001_202508[[#This Row],[Time Actual]]</f>
        <v>1100.0550964187328</v>
      </c>
      <c r="Q18" t="s">
        <v>19</v>
      </c>
      <c r="R18" s="2" t="str">
        <f>VLOOKUP(A:A,Vlookup!A:B,2,0)</f>
        <v>NB</v>
      </c>
      <c r="S18" s="3"/>
    </row>
    <row r="19" spans="1:19" x14ac:dyDescent="0.25">
      <c r="A19" t="s">
        <v>20</v>
      </c>
      <c r="B19" s="1">
        <v>45629</v>
      </c>
      <c r="C19" s="1">
        <v>45635</v>
      </c>
      <c r="D19" t="s">
        <v>18</v>
      </c>
      <c r="E19">
        <v>2024</v>
      </c>
      <c r="F19">
        <v>12</v>
      </c>
      <c r="G19">
        <v>3</v>
      </c>
      <c r="H19">
        <v>49</v>
      </c>
      <c r="I19">
        <v>7</v>
      </c>
      <c r="J19" t="s">
        <v>29</v>
      </c>
      <c r="K19" t="s">
        <v>30</v>
      </c>
      <c r="L19" t="s">
        <v>26</v>
      </c>
      <c r="M19" t="s">
        <v>126</v>
      </c>
      <c r="N19" s="3">
        <v>99.83</v>
      </c>
      <c r="O19" s="3">
        <f>ApprovedTimeReport_001_202508[[#This Row],[CostRate]]/0.9075</f>
        <v>110.00550964187327</v>
      </c>
      <c r="P19" s="3">
        <f>ApprovedTimeReport_001_202508[[#This Row],[CostRate w/ Taxes]]*ApprovedTimeReport_001_202508[[#This Row],[Time Actual]]</f>
        <v>770.03856749311296</v>
      </c>
      <c r="Q19" t="s">
        <v>19</v>
      </c>
      <c r="R19" s="2" t="str">
        <f>VLOOKUP(A:A,Vlookup!A:B,2,0)</f>
        <v>NB</v>
      </c>
      <c r="S19" s="3"/>
    </row>
    <row r="20" spans="1:19" x14ac:dyDescent="0.25">
      <c r="A20" t="s">
        <v>20</v>
      </c>
      <c r="B20" s="1">
        <v>45630</v>
      </c>
      <c r="C20" s="1">
        <v>45635</v>
      </c>
      <c r="D20" t="s">
        <v>18</v>
      </c>
      <c r="E20">
        <v>2024</v>
      </c>
      <c r="F20">
        <v>12</v>
      </c>
      <c r="G20">
        <v>4</v>
      </c>
      <c r="H20">
        <v>49</v>
      </c>
      <c r="I20">
        <v>9</v>
      </c>
      <c r="J20" t="s">
        <v>29</v>
      </c>
      <c r="K20" t="s">
        <v>30</v>
      </c>
      <c r="L20" t="s">
        <v>26</v>
      </c>
      <c r="M20" t="s">
        <v>125</v>
      </c>
      <c r="N20" s="3">
        <v>99.83</v>
      </c>
      <c r="O20" s="3">
        <f>ApprovedTimeReport_001_202508[[#This Row],[CostRate]]/0.9075</f>
        <v>110.00550964187327</v>
      </c>
      <c r="P20" s="3">
        <f>ApprovedTimeReport_001_202508[[#This Row],[CostRate w/ Taxes]]*ApprovedTimeReport_001_202508[[#This Row],[Time Actual]]</f>
        <v>990.04958677685943</v>
      </c>
      <c r="Q20" t="s">
        <v>19</v>
      </c>
      <c r="R20" s="2" t="str">
        <f>VLOOKUP(A:A,Vlookup!A:B,2,0)</f>
        <v>NB</v>
      </c>
      <c r="S20" s="3"/>
    </row>
    <row r="21" spans="1:19" x14ac:dyDescent="0.25">
      <c r="A21" t="s">
        <v>20</v>
      </c>
      <c r="B21" s="1">
        <v>45631</v>
      </c>
      <c r="C21" s="1">
        <v>45635</v>
      </c>
      <c r="D21" t="s">
        <v>18</v>
      </c>
      <c r="E21">
        <v>2024</v>
      </c>
      <c r="F21">
        <v>12</v>
      </c>
      <c r="G21">
        <v>5</v>
      </c>
      <c r="H21">
        <v>49</v>
      </c>
      <c r="I21">
        <v>3</v>
      </c>
      <c r="J21" t="s">
        <v>29</v>
      </c>
      <c r="K21" t="s">
        <v>30</v>
      </c>
      <c r="L21" t="s">
        <v>26</v>
      </c>
      <c r="M21" t="s">
        <v>121</v>
      </c>
      <c r="N21" s="3">
        <v>99.83</v>
      </c>
      <c r="O21" s="3">
        <f>ApprovedTimeReport_001_202508[[#This Row],[CostRate]]/0.9075</f>
        <v>110.00550964187327</v>
      </c>
      <c r="P21" s="3">
        <f>ApprovedTimeReport_001_202508[[#This Row],[CostRate w/ Taxes]]*ApprovedTimeReport_001_202508[[#This Row],[Time Actual]]</f>
        <v>330.01652892561981</v>
      </c>
      <c r="Q21" t="s">
        <v>19</v>
      </c>
      <c r="R21" s="2" t="str">
        <f>VLOOKUP(A:A,Vlookup!A:B,2,0)</f>
        <v>NB</v>
      </c>
      <c r="S21" s="3"/>
    </row>
    <row r="22" spans="1:19" x14ac:dyDescent="0.25">
      <c r="A22" t="s">
        <v>20</v>
      </c>
      <c r="B22" s="1">
        <v>45632</v>
      </c>
      <c r="C22" s="1">
        <v>45635</v>
      </c>
      <c r="D22" t="s">
        <v>18</v>
      </c>
      <c r="E22">
        <v>2024</v>
      </c>
      <c r="F22">
        <v>12</v>
      </c>
      <c r="G22">
        <v>6</v>
      </c>
      <c r="H22">
        <v>49</v>
      </c>
      <c r="I22">
        <v>9</v>
      </c>
      <c r="J22" t="s">
        <v>29</v>
      </c>
      <c r="K22" t="s">
        <v>30</v>
      </c>
      <c r="L22" t="s">
        <v>26</v>
      </c>
      <c r="M22" t="s">
        <v>118</v>
      </c>
      <c r="N22" s="3">
        <v>99.83</v>
      </c>
      <c r="O22" s="3">
        <f>ApprovedTimeReport_001_202508[[#This Row],[CostRate]]/0.9075</f>
        <v>110.00550964187327</v>
      </c>
      <c r="P22" s="3">
        <f>ApprovedTimeReport_001_202508[[#This Row],[CostRate w/ Taxes]]*ApprovedTimeReport_001_202508[[#This Row],[Time Actual]]</f>
        <v>990.04958677685943</v>
      </c>
      <c r="Q22" t="s">
        <v>19</v>
      </c>
      <c r="R22" s="2" t="str">
        <f>VLOOKUP(A:A,Vlookup!A:B,2,0)</f>
        <v>NB</v>
      </c>
      <c r="S22" s="3"/>
    </row>
    <row r="23" spans="1:19" x14ac:dyDescent="0.25">
      <c r="A23" t="s">
        <v>20</v>
      </c>
      <c r="B23" s="1">
        <v>45635</v>
      </c>
      <c r="C23" s="1">
        <v>45642</v>
      </c>
      <c r="D23" t="s">
        <v>18</v>
      </c>
      <c r="E23">
        <v>2024</v>
      </c>
      <c r="F23">
        <v>12</v>
      </c>
      <c r="G23">
        <v>9</v>
      </c>
      <c r="H23">
        <v>50</v>
      </c>
      <c r="I23">
        <v>4</v>
      </c>
      <c r="J23" t="s">
        <v>29</v>
      </c>
      <c r="K23" t="s">
        <v>30</v>
      </c>
      <c r="L23" t="s">
        <v>26</v>
      </c>
      <c r="M23" t="s">
        <v>116</v>
      </c>
      <c r="N23" s="3">
        <v>99.83</v>
      </c>
      <c r="O23" s="3">
        <f>ApprovedTimeReport_001_202508[[#This Row],[CostRate]]/0.9075</f>
        <v>110.00550964187327</v>
      </c>
      <c r="P23" s="3">
        <f>ApprovedTimeReport_001_202508[[#This Row],[CostRate w/ Taxes]]*ApprovedTimeReport_001_202508[[#This Row],[Time Actual]]</f>
        <v>440.0220385674931</v>
      </c>
      <c r="Q23" t="s">
        <v>19</v>
      </c>
      <c r="R23" s="2" t="str">
        <f>VLOOKUP(A:A,Vlookup!A:B,2,0)</f>
        <v>NB</v>
      </c>
      <c r="S23" s="3"/>
    </row>
    <row r="24" spans="1:19" x14ac:dyDescent="0.25">
      <c r="A24" t="s">
        <v>20</v>
      </c>
      <c r="B24" s="1">
        <v>45636</v>
      </c>
      <c r="C24" s="1">
        <v>45642</v>
      </c>
      <c r="D24" t="s">
        <v>18</v>
      </c>
      <c r="E24">
        <v>2024</v>
      </c>
      <c r="F24">
        <v>12</v>
      </c>
      <c r="G24">
        <v>10</v>
      </c>
      <c r="H24">
        <v>50</v>
      </c>
      <c r="I24">
        <v>10</v>
      </c>
      <c r="J24" t="s">
        <v>29</v>
      </c>
      <c r="K24" t="s">
        <v>30</v>
      </c>
      <c r="L24" t="s">
        <v>26</v>
      </c>
      <c r="M24" t="s">
        <v>114</v>
      </c>
      <c r="N24" s="3">
        <v>99.83</v>
      </c>
      <c r="O24" s="3">
        <f>ApprovedTimeReport_001_202508[[#This Row],[CostRate]]/0.9075</f>
        <v>110.00550964187327</v>
      </c>
      <c r="P24" s="3">
        <f>ApprovedTimeReport_001_202508[[#This Row],[CostRate w/ Taxes]]*ApprovedTimeReport_001_202508[[#This Row],[Time Actual]]</f>
        <v>1100.0550964187328</v>
      </c>
      <c r="Q24" t="s">
        <v>19</v>
      </c>
      <c r="R24" s="2" t="str">
        <f>VLOOKUP(A:A,Vlookup!A:B,2,0)</f>
        <v>NB</v>
      </c>
      <c r="S24" s="3"/>
    </row>
    <row r="25" spans="1:19" x14ac:dyDescent="0.25">
      <c r="A25" t="s">
        <v>20</v>
      </c>
      <c r="B25" s="1">
        <v>45637</v>
      </c>
      <c r="C25" s="1">
        <v>45642</v>
      </c>
      <c r="D25" t="s">
        <v>18</v>
      </c>
      <c r="E25">
        <v>2024</v>
      </c>
      <c r="F25">
        <v>12</v>
      </c>
      <c r="G25">
        <v>11</v>
      </c>
      <c r="H25">
        <v>50</v>
      </c>
      <c r="I25">
        <v>6</v>
      </c>
      <c r="J25" t="s">
        <v>29</v>
      </c>
      <c r="K25" t="s">
        <v>30</v>
      </c>
      <c r="L25" t="s">
        <v>26</v>
      </c>
      <c r="M25" t="s">
        <v>111</v>
      </c>
      <c r="N25" s="3">
        <v>99.83</v>
      </c>
      <c r="O25" s="3">
        <f>ApprovedTimeReport_001_202508[[#This Row],[CostRate]]/0.9075</f>
        <v>110.00550964187327</v>
      </c>
      <c r="P25" s="3">
        <f>ApprovedTimeReport_001_202508[[#This Row],[CostRate w/ Taxes]]*ApprovedTimeReport_001_202508[[#This Row],[Time Actual]]</f>
        <v>660.03305785123962</v>
      </c>
      <c r="Q25" t="s">
        <v>19</v>
      </c>
      <c r="R25" s="2" t="str">
        <f>VLOOKUP(A:A,Vlookup!A:B,2,0)</f>
        <v>NB</v>
      </c>
      <c r="S25" s="3"/>
    </row>
    <row r="26" spans="1:19" x14ac:dyDescent="0.25">
      <c r="A26" t="s">
        <v>20</v>
      </c>
      <c r="B26" s="1">
        <v>45638</v>
      </c>
      <c r="C26" s="1">
        <v>45642</v>
      </c>
      <c r="D26" t="s">
        <v>18</v>
      </c>
      <c r="E26">
        <v>2024</v>
      </c>
      <c r="F26">
        <v>12</v>
      </c>
      <c r="G26">
        <v>12</v>
      </c>
      <c r="H26">
        <v>50</v>
      </c>
      <c r="I26">
        <v>6</v>
      </c>
      <c r="J26" t="s">
        <v>29</v>
      </c>
      <c r="K26" t="s">
        <v>30</v>
      </c>
      <c r="L26" t="s">
        <v>26</v>
      </c>
      <c r="M26" t="s">
        <v>108</v>
      </c>
      <c r="N26" s="3">
        <v>99.83</v>
      </c>
      <c r="O26" s="3">
        <f>ApprovedTimeReport_001_202508[[#This Row],[CostRate]]/0.9075</f>
        <v>110.00550964187327</v>
      </c>
      <c r="P26" s="3">
        <f>ApprovedTimeReport_001_202508[[#This Row],[CostRate w/ Taxes]]*ApprovedTimeReport_001_202508[[#This Row],[Time Actual]]</f>
        <v>660.03305785123962</v>
      </c>
      <c r="Q26" t="s">
        <v>19</v>
      </c>
      <c r="R26" s="2" t="str">
        <f>VLOOKUP(A:A,Vlookup!A:B,2,0)</f>
        <v>NB</v>
      </c>
      <c r="S26" s="3"/>
    </row>
    <row r="27" spans="1:19" x14ac:dyDescent="0.25">
      <c r="A27" t="s">
        <v>20</v>
      </c>
      <c r="B27" s="1">
        <v>45639</v>
      </c>
      <c r="C27" s="1">
        <v>45642</v>
      </c>
      <c r="D27" t="s">
        <v>18</v>
      </c>
      <c r="E27">
        <v>2024</v>
      </c>
      <c r="F27">
        <v>12</v>
      </c>
      <c r="G27">
        <v>13</v>
      </c>
      <c r="H27">
        <v>50</v>
      </c>
      <c r="I27">
        <v>8</v>
      </c>
      <c r="J27" t="s">
        <v>29</v>
      </c>
      <c r="K27" t="s">
        <v>30</v>
      </c>
      <c r="L27" t="s">
        <v>26</v>
      </c>
      <c r="M27" t="s">
        <v>104</v>
      </c>
      <c r="N27" s="3">
        <v>99.83</v>
      </c>
      <c r="O27" s="3">
        <f>ApprovedTimeReport_001_202508[[#This Row],[CostRate]]/0.9075</f>
        <v>110.00550964187327</v>
      </c>
      <c r="P27" s="3">
        <f>ApprovedTimeReport_001_202508[[#This Row],[CostRate w/ Taxes]]*ApprovedTimeReport_001_202508[[#This Row],[Time Actual]]</f>
        <v>880.0440771349862</v>
      </c>
      <c r="Q27" t="s">
        <v>19</v>
      </c>
      <c r="R27" s="2" t="str">
        <f>VLOOKUP(A:A,Vlookup!A:B,2,0)</f>
        <v>NB</v>
      </c>
      <c r="S27" s="3"/>
    </row>
    <row r="28" spans="1:19" x14ac:dyDescent="0.25">
      <c r="A28" t="s">
        <v>20</v>
      </c>
      <c r="B28" s="1">
        <v>45642</v>
      </c>
      <c r="C28" s="1">
        <v>45649</v>
      </c>
      <c r="D28" t="s">
        <v>18</v>
      </c>
      <c r="E28">
        <v>2024</v>
      </c>
      <c r="F28">
        <v>12</v>
      </c>
      <c r="G28">
        <v>16</v>
      </c>
      <c r="H28">
        <v>51</v>
      </c>
      <c r="I28">
        <v>4</v>
      </c>
      <c r="J28" t="s">
        <v>29</v>
      </c>
      <c r="K28" t="s">
        <v>30</v>
      </c>
      <c r="L28" t="s">
        <v>26</v>
      </c>
      <c r="M28" t="s">
        <v>100</v>
      </c>
      <c r="N28" s="3">
        <v>99.83</v>
      </c>
      <c r="O28" s="3">
        <f>ApprovedTimeReport_001_202508[[#This Row],[CostRate]]/0.9075</f>
        <v>110.00550964187327</v>
      </c>
      <c r="P28" s="3">
        <f>ApprovedTimeReport_001_202508[[#This Row],[CostRate w/ Taxes]]*ApprovedTimeReport_001_202508[[#This Row],[Time Actual]]</f>
        <v>440.0220385674931</v>
      </c>
      <c r="Q28" t="s">
        <v>19</v>
      </c>
      <c r="R28" s="2" t="str">
        <f>VLOOKUP(A:A,Vlookup!A:B,2,0)</f>
        <v>NB</v>
      </c>
      <c r="S28" s="3"/>
    </row>
    <row r="29" spans="1:19" x14ac:dyDescent="0.25">
      <c r="A29" t="s">
        <v>20</v>
      </c>
      <c r="B29" s="1">
        <v>45643</v>
      </c>
      <c r="C29" s="1">
        <v>45649</v>
      </c>
      <c r="D29" t="s">
        <v>18</v>
      </c>
      <c r="E29">
        <v>2024</v>
      </c>
      <c r="F29">
        <v>12</v>
      </c>
      <c r="G29">
        <v>17</v>
      </c>
      <c r="H29">
        <v>51</v>
      </c>
      <c r="I29">
        <v>4</v>
      </c>
      <c r="J29" t="s">
        <v>29</v>
      </c>
      <c r="K29" t="s">
        <v>30</v>
      </c>
      <c r="L29" t="s">
        <v>26</v>
      </c>
      <c r="M29" t="s">
        <v>97</v>
      </c>
      <c r="N29" s="3">
        <v>99.83</v>
      </c>
      <c r="O29" s="3">
        <f>ApprovedTimeReport_001_202508[[#This Row],[CostRate]]/0.9075</f>
        <v>110.00550964187327</v>
      </c>
      <c r="P29" s="3">
        <f>ApprovedTimeReport_001_202508[[#This Row],[CostRate w/ Taxes]]*ApprovedTimeReport_001_202508[[#This Row],[Time Actual]]</f>
        <v>440.0220385674931</v>
      </c>
      <c r="Q29" t="s">
        <v>19</v>
      </c>
      <c r="R29" s="2" t="str">
        <f>VLOOKUP(A:A,Vlookup!A:B,2,0)</f>
        <v>NB</v>
      </c>
      <c r="S29" s="3"/>
    </row>
    <row r="30" spans="1:19" x14ac:dyDescent="0.25">
      <c r="A30" t="s">
        <v>20</v>
      </c>
      <c r="B30" s="1">
        <v>45646</v>
      </c>
      <c r="C30" s="1">
        <v>45649</v>
      </c>
      <c r="D30" t="s">
        <v>18</v>
      </c>
      <c r="E30">
        <v>2024</v>
      </c>
      <c r="F30">
        <v>12</v>
      </c>
      <c r="G30">
        <v>20</v>
      </c>
      <c r="H30">
        <v>51</v>
      </c>
      <c r="I30">
        <v>5</v>
      </c>
      <c r="J30" t="s">
        <v>29</v>
      </c>
      <c r="K30" t="s">
        <v>30</v>
      </c>
      <c r="L30" t="s">
        <v>26</v>
      </c>
      <c r="M30" t="s">
        <v>84</v>
      </c>
      <c r="N30" s="3">
        <v>99.83</v>
      </c>
      <c r="O30" s="3">
        <f>ApprovedTimeReport_001_202508[[#This Row],[CostRate]]/0.9075</f>
        <v>110.00550964187327</v>
      </c>
      <c r="P30" s="3">
        <f>ApprovedTimeReport_001_202508[[#This Row],[CostRate w/ Taxes]]*ApprovedTimeReport_001_202508[[#This Row],[Time Actual]]</f>
        <v>550.02754820936639</v>
      </c>
      <c r="Q30" t="s">
        <v>19</v>
      </c>
      <c r="R30" s="2" t="str">
        <f>VLOOKUP(A:A,Vlookup!A:B,2,0)</f>
        <v>NB</v>
      </c>
      <c r="S30" s="3"/>
    </row>
    <row r="31" spans="1:19" x14ac:dyDescent="0.25">
      <c r="A31" t="s">
        <v>20</v>
      </c>
      <c r="B31" s="1">
        <v>45650</v>
      </c>
      <c r="C31" s="1">
        <v>45656</v>
      </c>
      <c r="D31" t="s">
        <v>18</v>
      </c>
      <c r="E31">
        <v>2024</v>
      </c>
      <c r="F31">
        <v>12</v>
      </c>
      <c r="G31">
        <v>24</v>
      </c>
      <c r="H31">
        <v>52</v>
      </c>
      <c r="I31">
        <v>7</v>
      </c>
      <c r="J31" t="s">
        <v>29</v>
      </c>
      <c r="K31" t="s">
        <v>30</v>
      </c>
      <c r="L31" t="s">
        <v>26</v>
      </c>
      <c r="M31" t="s">
        <v>75</v>
      </c>
      <c r="N31" s="3">
        <v>99.83</v>
      </c>
      <c r="O31" s="3">
        <f>ApprovedTimeReport_001_202508[[#This Row],[CostRate]]/0.9075</f>
        <v>110.00550964187327</v>
      </c>
      <c r="P31" s="3">
        <f>ApprovedTimeReport_001_202508[[#This Row],[CostRate w/ Taxes]]*ApprovedTimeReport_001_202508[[#This Row],[Time Actual]]</f>
        <v>770.03856749311296</v>
      </c>
      <c r="Q31" t="s">
        <v>19</v>
      </c>
      <c r="R31" s="2" t="str">
        <f>VLOOKUP(A:A,Vlookup!A:B,2,0)</f>
        <v>NB</v>
      </c>
      <c r="S31" s="3"/>
    </row>
    <row r="32" spans="1:19" x14ac:dyDescent="0.25">
      <c r="A32" t="s">
        <v>20</v>
      </c>
      <c r="B32" s="1">
        <v>45652</v>
      </c>
      <c r="C32" s="1">
        <v>45656</v>
      </c>
      <c r="D32" t="s">
        <v>18</v>
      </c>
      <c r="E32">
        <v>2024</v>
      </c>
      <c r="F32">
        <v>12</v>
      </c>
      <c r="G32">
        <v>26</v>
      </c>
      <c r="H32">
        <v>52</v>
      </c>
      <c r="I32">
        <v>2</v>
      </c>
      <c r="J32" t="s">
        <v>29</v>
      </c>
      <c r="K32" t="s">
        <v>30</v>
      </c>
      <c r="L32" t="s">
        <v>26</v>
      </c>
      <c r="M32" t="s">
        <v>72</v>
      </c>
      <c r="N32" s="3">
        <v>99.83</v>
      </c>
      <c r="O32" s="3">
        <f>ApprovedTimeReport_001_202508[[#This Row],[CostRate]]/0.9075</f>
        <v>110.00550964187327</v>
      </c>
      <c r="P32" s="3">
        <f>ApprovedTimeReport_001_202508[[#This Row],[CostRate w/ Taxes]]*ApprovedTimeReport_001_202508[[#This Row],[Time Actual]]</f>
        <v>220.01101928374655</v>
      </c>
      <c r="Q32" t="s">
        <v>19</v>
      </c>
      <c r="R32" s="2" t="str">
        <f>VLOOKUP(A:A,Vlookup!A:B,2,0)</f>
        <v>NB</v>
      </c>
      <c r="S32" s="3"/>
    </row>
    <row r="33" spans="1:19" x14ac:dyDescent="0.25">
      <c r="A33" t="s">
        <v>20</v>
      </c>
      <c r="B33" s="1">
        <v>45653</v>
      </c>
      <c r="C33" s="1">
        <v>45656</v>
      </c>
      <c r="D33" t="s">
        <v>18</v>
      </c>
      <c r="E33">
        <v>2024</v>
      </c>
      <c r="F33">
        <v>12</v>
      </c>
      <c r="G33">
        <v>27</v>
      </c>
      <c r="H33">
        <v>52</v>
      </c>
      <c r="I33">
        <v>8</v>
      </c>
      <c r="J33" t="s">
        <v>29</v>
      </c>
      <c r="K33" t="s">
        <v>30</v>
      </c>
      <c r="L33" t="s">
        <v>26</v>
      </c>
      <c r="M33" t="s">
        <v>66</v>
      </c>
      <c r="N33" s="3">
        <v>99.83</v>
      </c>
      <c r="O33" s="3">
        <f>ApprovedTimeReport_001_202508[[#This Row],[CostRate]]/0.9075</f>
        <v>110.00550964187327</v>
      </c>
      <c r="P33" s="3">
        <f>ApprovedTimeReport_001_202508[[#This Row],[CostRate w/ Taxes]]*ApprovedTimeReport_001_202508[[#This Row],[Time Actual]]</f>
        <v>880.0440771349862</v>
      </c>
      <c r="Q33" t="s">
        <v>19</v>
      </c>
      <c r="R33" s="2" t="str">
        <f>VLOOKUP(A:A,Vlookup!A:B,2,0)</f>
        <v>NB</v>
      </c>
      <c r="S33" s="3"/>
    </row>
    <row r="34" spans="1:19" x14ac:dyDescent="0.25">
      <c r="A34" t="s">
        <v>20</v>
      </c>
      <c r="B34" s="1">
        <v>45656</v>
      </c>
      <c r="C34" s="1">
        <v>45663</v>
      </c>
      <c r="D34" t="s">
        <v>18</v>
      </c>
      <c r="E34">
        <v>2024</v>
      </c>
      <c r="F34">
        <v>12</v>
      </c>
      <c r="G34">
        <v>30</v>
      </c>
      <c r="H34">
        <v>52</v>
      </c>
      <c r="I34">
        <v>6</v>
      </c>
      <c r="J34" t="s">
        <v>29</v>
      </c>
      <c r="K34" t="s">
        <v>30</v>
      </c>
      <c r="L34" t="s">
        <v>26</v>
      </c>
      <c r="M34" t="s">
        <v>60</v>
      </c>
      <c r="N34" s="3">
        <v>99.83</v>
      </c>
      <c r="O34" s="3">
        <f>ApprovedTimeReport_001_202508[[#This Row],[CostRate]]/0.9075</f>
        <v>110.00550964187327</v>
      </c>
      <c r="P34" s="3">
        <f>ApprovedTimeReport_001_202508[[#This Row],[CostRate w/ Taxes]]*ApprovedTimeReport_001_202508[[#This Row],[Time Actual]]</f>
        <v>660.03305785123962</v>
      </c>
      <c r="Q34" t="s">
        <v>19</v>
      </c>
      <c r="R34" s="2" t="str">
        <f>VLOOKUP(A:A,Vlookup!A:B,2,0)</f>
        <v>NB</v>
      </c>
      <c r="S34" s="3"/>
    </row>
    <row r="35" spans="1:19" x14ac:dyDescent="0.25">
      <c r="A35" t="s">
        <v>20</v>
      </c>
      <c r="B35" s="1">
        <v>45657</v>
      </c>
      <c r="C35" s="1">
        <v>45663</v>
      </c>
      <c r="D35" t="s">
        <v>18</v>
      </c>
      <c r="E35">
        <v>2024</v>
      </c>
      <c r="F35">
        <v>12</v>
      </c>
      <c r="G35">
        <v>31</v>
      </c>
      <c r="H35">
        <v>52</v>
      </c>
      <c r="I35">
        <v>6</v>
      </c>
      <c r="J35" t="s">
        <v>29</v>
      </c>
      <c r="K35" t="s">
        <v>30</v>
      </c>
      <c r="L35" t="s">
        <v>26</v>
      </c>
      <c r="M35" t="s">
        <v>31</v>
      </c>
      <c r="N35" s="3">
        <v>99.83</v>
      </c>
      <c r="O35" s="3">
        <f>ApprovedTimeReport_001_202508[[#This Row],[CostRate]]/0.9075</f>
        <v>110.00550964187327</v>
      </c>
      <c r="P35" s="3">
        <f>ApprovedTimeReport_001_202508[[#This Row],[CostRate w/ Taxes]]*ApprovedTimeReport_001_202508[[#This Row],[Time Actual]]</f>
        <v>660.03305785123962</v>
      </c>
      <c r="Q35" t="s">
        <v>19</v>
      </c>
      <c r="R35" s="2" t="str">
        <f>VLOOKUP(A:A,Vlookup!A:B,2,0)</f>
        <v>NB</v>
      </c>
      <c r="S35" s="3"/>
    </row>
    <row r="36" spans="1:19" x14ac:dyDescent="0.25">
      <c r="A36" t="s">
        <v>68</v>
      </c>
      <c r="B36" s="1">
        <v>45635</v>
      </c>
      <c r="C36" s="1">
        <v>45642</v>
      </c>
      <c r="D36" t="s">
        <v>16</v>
      </c>
      <c r="E36">
        <v>2024</v>
      </c>
      <c r="F36">
        <v>12</v>
      </c>
      <c r="G36">
        <v>9</v>
      </c>
      <c r="H36">
        <v>50</v>
      </c>
      <c r="I36">
        <v>3</v>
      </c>
      <c r="J36" t="s">
        <v>29</v>
      </c>
      <c r="K36" t="s">
        <v>30</v>
      </c>
      <c r="L36" t="s">
        <v>17</v>
      </c>
      <c r="M36" t="s">
        <v>117</v>
      </c>
      <c r="N36" s="3">
        <v>99.83</v>
      </c>
      <c r="O36" s="3">
        <f>ApprovedTimeReport_001_202508[[#This Row],[CostRate]]/0.9075</f>
        <v>110.00550964187327</v>
      </c>
      <c r="P36" s="3">
        <f>ApprovedTimeReport_001_202508[[#This Row],[CostRate w/ Taxes]]*ApprovedTimeReport_001_202508[[#This Row],[Time Actual]]</f>
        <v>330.01652892561981</v>
      </c>
      <c r="Q36" t="s">
        <v>19</v>
      </c>
      <c r="R36" s="2" t="str">
        <f>VLOOKUP(A:A,Vlookup!A:B,2,0)</f>
        <v>NB</v>
      </c>
      <c r="S36" s="3"/>
    </row>
    <row r="37" spans="1:19" x14ac:dyDescent="0.25">
      <c r="A37" t="s">
        <v>68</v>
      </c>
      <c r="B37" s="1">
        <v>45645</v>
      </c>
      <c r="C37" s="1">
        <v>45649</v>
      </c>
      <c r="D37" t="s">
        <v>16</v>
      </c>
      <c r="E37">
        <v>2024</v>
      </c>
      <c r="F37">
        <v>12</v>
      </c>
      <c r="G37">
        <v>19</v>
      </c>
      <c r="H37">
        <v>51</v>
      </c>
      <c r="I37">
        <v>2</v>
      </c>
      <c r="J37" t="s">
        <v>29</v>
      </c>
      <c r="K37" t="s">
        <v>30</v>
      </c>
      <c r="L37" t="s">
        <v>17</v>
      </c>
      <c r="M37" t="s">
        <v>91</v>
      </c>
      <c r="N37" s="3">
        <v>99.83</v>
      </c>
      <c r="O37" s="3">
        <f>ApprovedTimeReport_001_202508[[#This Row],[CostRate]]/0.9075</f>
        <v>110.00550964187327</v>
      </c>
      <c r="P37" s="3">
        <f>ApprovedTimeReport_001_202508[[#This Row],[CostRate w/ Taxes]]*ApprovedTimeReport_001_202508[[#This Row],[Time Actual]]</f>
        <v>220.01101928374655</v>
      </c>
      <c r="Q37" t="s">
        <v>19</v>
      </c>
      <c r="R37" s="2" t="str">
        <f>VLOOKUP(A:A,Vlookup!A:B,2,0)</f>
        <v>NB</v>
      </c>
      <c r="S37" s="3"/>
    </row>
    <row r="38" spans="1:19" x14ac:dyDescent="0.25">
      <c r="A38" t="s">
        <v>68</v>
      </c>
      <c r="B38" s="1">
        <v>45646</v>
      </c>
      <c r="C38" s="1">
        <v>45649</v>
      </c>
      <c r="D38" t="s">
        <v>16</v>
      </c>
      <c r="E38">
        <v>2024</v>
      </c>
      <c r="F38">
        <v>12</v>
      </c>
      <c r="G38">
        <v>20</v>
      </c>
      <c r="H38">
        <v>51</v>
      </c>
      <c r="I38">
        <v>3</v>
      </c>
      <c r="J38" t="s">
        <v>29</v>
      </c>
      <c r="K38" t="s">
        <v>30</v>
      </c>
      <c r="L38" t="s">
        <v>17</v>
      </c>
      <c r="M38" t="s">
        <v>87</v>
      </c>
      <c r="N38" s="3">
        <v>99.83</v>
      </c>
      <c r="O38" s="3">
        <f>ApprovedTimeReport_001_202508[[#This Row],[CostRate]]/0.9075</f>
        <v>110.00550964187327</v>
      </c>
      <c r="P38" s="3">
        <f>ApprovedTimeReport_001_202508[[#This Row],[CostRate w/ Taxes]]*ApprovedTimeReport_001_202508[[#This Row],[Time Actual]]</f>
        <v>330.01652892561981</v>
      </c>
      <c r="Q38" t="s">
        <v>19</v>
      </c>
      <c r="R38" s="2" t="str">
        <f>VLOOKUP(A:A,Vlookup!A:B,2,0)</f>
        <v>NB</v>
      </c>
      <c r="S38" s="3"/>
    </row>
    <row r="39" spans="1:19" x14ac:dyDescent="0.25">
      <c r="A39" t="s">
        <v>58</v>
      </c>
      <c r="B39" s="1">
        <v>45631</v>
      </c>
      <c r="C39" s="1">
        <v>45635</v>
      </c>
      <c r="D39" t="s">
        <v>16</v>
      </c>
      <c r="E39">
        <v>2024</v>
      </c>
      <c r="F39">
        <v>12</v>
      </c>
      <c r="G39">
        <v>5</v>
      </c>
      <c r="H39">
        <v>49</v>
      </c>
      <c r="I39">
        <v>1</v>
      </c>
      <c r="J39" t="s">
        <v>29</v>
      </c>
      <c r="K39" t="s">
        <v>30</v>
      </c>
      <c r="L39" t="s">
        <v>17</v>
      </c>
      <c r="M39" t="s">
        <v>119</v>
      </c>
      <c r="N39" s="3">
        <v>99.83</v>
      </c>
      <c r="O39" s="3">
        <f>ApprovedTimeReport_001_202508[[#This Row],[CostRate]]/0.9075</f>
        <v>110.00550964187327</v>
      </c>
      <c r="P39" s="3">
        <f>ApprovedTimeReport_001_202508[[#This Row],[CostRate w/ Taxes]]*ApprovedTimeReport_001_202508[[#This Row],[Time Actual]]</f>
        <v>110.00550964187327</v>
      </c>
      <c r="Q39" t="s">
        <v>19</v>
      </c>
      <c r="R39" s="2" t="str">
        <f>VLOOKUP(A:A,Vlookup!A:B,2,0)</f>
        <v>NB</v>
      </c>
      <c r="S39" s="3"/>
    </row>
    <row r="40" spans="1:19" x14ac:dyDescent="0.25">
      <c r="A40" t="s">
        <v>58</v>
      </c>
      <c r="B40" s="1">
        <v>45645</v>
      </c>
      <c r="C40" s="1">
        <v>45649</v>
      </c>
      <c r="D40" t="s">
        <v>16</v>
      </c>
      <c r="E40">
        <v>2024</v>
      </c>
      <c r="F40">
        <v>12</v>
      </c>
      <c r="G40">
        <v>19</v>
      </c>
      <c r="H40">
        <v>51</v>
      </c>
      <c r="I40">
        <v>1</v>
      </c>
      <c r="J40" t="s">
        <v>29</v>
      </c>
      <c r="K40" t="s">
        <v>30</v>
      </c>
      <c r="L40" t="s">
        <v>17</v>
      </c>
      <c r="M40" t="s">
        <v>89</v>
      </c>
      <c r="N40" s="3">
        <v>99.83</v>
      </c>
      <c r="O40" s="3">
        <f>ApprovedTimeReport_001_202508[[#This Row],[CostRate]]/0.9075</f>
        <v>110.00550964187327</v>
      </c>
      <c r="P40" s="3">
        <f>ApprovedTimeReport_001_202508[[#This Row],[CostRate w/ Taxes]]*ApprovedTimeReport_001_202508[[#This Row],[Time Actual]]</f>
        <v>110.00550964187327</v>
      </c>
      <c r="Q40" t="s">
        <v>19</v>
      </c>
      <c r="R40" s="2" t="str">
        <f>VLOOKUP(A:A,Vlookup!A:B,2,0)</f>
        <v>NB</v>
      </c>
      <c r="S40" s="3"/>
    </row>
    <row r="41" spans="1:19" x14ac:dyDescent="0.25">
      <c r="A41" t="s">
        <v>106</v>
      </c>
      <c r="B41" s="1">
        <v>45638</v>
      </c>
      <c r="C41" s="1">
        <v>45642</v>
      </c>
      <c r="D41" t="s">
        <v>16</v>
      </c>
      <c r="E41">
        <v>2024</v>
      </c>
      <c r="F41">
        <v>12</v>
      </c>
      <c r="G41">
        <v>12</v>
      </c>
      <c r="H41">
        <v>50</v>
      </c>
      <c r="I41">
        <v>1</v>
      </c>
      <c r="J41" t="s">
        <v>29</v>
      </c>
      <c r="K41" t="s">
        <v>30</v>
      </c>
      <c r="L41" t="s">
        <v>17</v>
      </c>
      <c r="M41" t="s">
        <v>107</v>
      </c>
      <c r="N41" s="3">
        <v>157</v>
      </c>
      <c r="O41" s="3">
        <f>ApprovedTimeReport_001_202508[[#This Row],[CostRate]]/0.9075</f>
        <v>173.00275482093664</v>
      </c>
      <c r="P41" s="3">
        <f>ApprovedTimeReport_001_202508[[#This Row],[CostRate w/ Taxes]]*ApprovedTimeReport_001_202508[[#This Row],[Time Actual]]</f>
        <v>173.00275482093664</v>
      </c>
      <c r="Q41" t="s">
        <v>19</v>
      </c>
      <c r="R41" s="2" t="str">
        <f>VLOOKUP(A:A,Vlookup!A:B,2,0)</f>
        <v>NB</v>
      </c>
      <c r="S41" s="3"/>
    </row>
    <row r="42" spans="1:19" x14ac:dyDescent="0.25">
      <c r="A42" t="s">
        <v>37</v>
      </c>
      <c r="B42" s="1">
        <v>45644</v>
      </c>
      <c r="C42" s="1">
        <v>45649</v>
      </c>
      <c r="D42" t="s">
        <v>16</v>
      </c>
      <c r="E42">
        <v>2024</v>
      </c>
      <c r="F42">
        <v>12</v>
      </c>
      <c r="G42">
        <v>18</v>
      </c>
      <c r="H42">
        <v>51</v>
      </c>
      <c r="I42">
        <v>1</v>
      </c>
      <c r="J42" t="s">
        <v>29</v>
      </c>
      <c r="K42" t="s">
        <v>30</v>
      </c>
      <c r="L42" t="s">
        <v>26</v>
      </c>
      <c r="M42" t="s">
        <v>93</v>
      </c>
      <c r="N42" s="3">
        <v>157</v>
      </c>
      <c r="O42" s="3">
        <f>ApprovedTimeReport_001_202508[[#This Row],[CostRate]]/0.9075</f>
        <v>173.00275482093664</v>
      </c>
      <c r="P42" s="3">
        <f>ApprovedTimeReport_001_202508[[#This Row],[CostRate w/ Taxes]]*ApprovedTimeReport_001_202508[[#This Row],[Time Actual]]</f>
        <v>173.00275482093664</v>
      </c>
      <c r="Q42" t="s">
        <v>38</v>
      </c>
      <c r="R42" s="2" t="str">
        <f>VLOOKUP(A:A,Vlookup!A:B,2,0)</f>
        <v>FF</v>
      </c>
      <c r="S42" s="3"/>
    </row>
    <row r="43" spans="1:19" x14ac:dyDescent="0.25">
      <c r="A43" t="s">
        <v>37</v>
      </c>
      <c r="B43" s="1">
        <v>45649</v>
      </c>
      <c r="C43" s="1">
        <v>45656</v>
      </c>
      <c r="D43" t="s">
        <v>16</v>
      </c>
      <c r="E43">
        <v>2024</v>
      </c>
      <c r="F43">
        <v>12</v>
      </c>
      <c r="G43">
        <v>23</v>
      </c>
      <c r="H43">
        <v>52</v>
      </c>
      <c r="I43">
        <v>1</v>
      </c>
      <c r="J43" t="s">
        <v>29</v>
      </c>
      <c r="K43" t="s">
        <v>30</v>
      </c>
      <c r="L43" t="s">
        <v>26</v>
      </c>
      <c r="M43" t="s">
        <v>80</v>
      </c>
      <c r="N43" s="3">
        <v>157</v>
      </c>
      <c r="O43" s="3">
        <f>ApprovedTimeReport_001_202508[[#This Row],[CostRate]]/0.9075</f>
        <v>173.00275482093664</v>
      </c>
      <c r="P43" s="3">
        <f>ApprovedTimeReport_001_202508[[#This Row],[CostRate w/ Taxes]]*ApprovedTimeReport_001_202508[[#This Row],[Time Actual]]</f>
        <v>173.00275482093664</v>
      </c>
      <c r="Q43" t="s">
        <v>38</v>
      </c>
      <c r="R43" s="2" t="str">
        <f>VLOOKUP(A:A,Vlookup!A:B,2,0)</f>
        <v>FF</v>
      </c>
      <c r="S43" s="3"/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53AC-73DC-4D20-B89A-AC2642C26410}">
  <dimension ref="A1:B128"/>
  <sheetViews>
    <sheetView topLeftCell="A103" workbookViewId="0">
      <selection activeCell="A120" sqref="A120:XFD128"/>
    </sheetView>
  </sheetViews>
  <sheetFormatPr defaultRowHeight="15" x14ac:dyDescent="0.25"/>
  <cols>
    <col min="1" max="1" width="22.28515625" bestFit="1" customWidth="1"/>
    <col min="2" max="2" width="11.140625" bestFit="1" customWidth="1"/>
  </cols>
  <sheetData>
    <row r="1" spans="1:2" x14ac:dyDescent="0.25">
      <c r="A1" t="s">
        <v>0</v>
      </c>
      <c r="B1" t="s">
        <v>132</v>
      </c>
    </row>
    <row r="2" spans="1:2" x14ac:dyDescent="0.25">
      <c r="A2" t="s">
        <v>133</v>
      </c>
      <c r="B2" t="s">
        <v>134</v>
      </c>
    </row>
    <row r="3" spans="1:2" x14ac:dyDescent="0.25">
      <c r="A3" t="s">
        <v>135</v>
      </c>
      <c r="B3" t="s">
        <v>134</v>
      </c>
    </row>
    <row r="4" spans="1:2" x14ac:dyDescent="0.25">
      <c r="A4" t="s">
        <v>136</v>
      </c>
      <c r="B4" t="s">
        <v>134</v>
      </c>
    </row>
    <row r="5" spans="1:2" x14ac:dyDescent="0.25">
      <c r="A5" t="s">
        <v>137</v>
      </c>
      <c r="B5" t="s">
        <v>134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140</v>
      </c>
      <c r="B7" t="s">
        <v>134</v>
      </c>
    </row>
    <row r="8" spans="1:2" x14ac:dyDescent="0.25">
      <c r="A8" t="s">
        <v>141</v>
      </c>
      <c r="B8" t="s">
        <v>134</v>
      </c>
    </row>
    <row r="9" spans="1:2" x14ac:dyDescent="0.25">
      <c r="A9" t="s">
        <v>25</v>
      </c>
      <c r="B9" t="s">
        <v>134</v>
      </c>
    </row>
    <row r="10" spans="1:2" x14ac:dyDescent="0.25">
      <c r="A10" t="s">
        <v>105</v>
      </c>
      <c r="B10" t="s">
        <v>142</v>
      </c>
    </row>
    <row r="11" spans="1:2" x14ac:dyDescent="0.25">
      <c r="A11" t="s">
        <v>143</v>
      </c>
      <c r="B11" t="s">
        <v>142</v>
      </c>
    </row>
    <row r="12" spans="1:2" x14ac:dyDescent="0.25">
      <c r="A12" t="s">
        <v>81</v>
      </c>
      <c r="B12" t="s">
        <v>142</v>
      </c>
    </row>
    <row r="13" spans="1:2" x14ac:dyDescent="0.25">
      <c r="A13" t="s">
        <v>144</v>
      </c>
      <c r="B13" t="s">
        <v>134</v>
      </c>
    </row>
    <row r="14" spans="1:2" x14ac:dyDescent="0.25">
      <c r="A14" t="s">
        <v>65</v>
      </c>
      <c r="B14" t="s">
        <v>134</v>
      </c>
    </row>
    <row r="15" spans="1:2" x14ac:dyDescent="0.25">
      <c r="A15" t="s">
        <v>145</v>
      </c>
      <c r="B15" t="s">
        <v>134</v>
      </c>
    </row>
    <row r="16" spans="1:2" x14ac:dyDescent="0.25">
      <c r="A16" t="s">
        <v>146</v>
      </c>
      <c r="B16" t="s">
        <v>142</v>
      </c>
    </row>
    <row r="17" spans="1:2" x14ac:dyDescent="0.25">
      <c r="A17" t="s">
        <v>147</v>
      </c>
      <c r="B17" t="s">
        <v>134</v>
      </c>
    </row>
    <row r="18" spans="1:2" x14ac:dyDescent="0.25">
      <c r="A18" t="s">
        <v>148</v>
      </c>
      <c r="B18" t="s">
        <v>134</v>
      </c>
    </row>
    <row r="19" spans="1:2" x14ac:dyDescent="0.25">
      <c r="A19" t="s">
        <v>149</v>
      </c>
      <c r="B19" t="s">
        <v>134</v>
      </c>
    </row>
    <row r="20" spans="1:2" x14ac:dyDescent="0.25">
      <c r="A20" t="s">
        <v>150</v>
      </c>
      <c r="B20" t="s">
        <v>142</v>
      </c>
    </row>
    <row r="21" spans="1:2" x14ac:dyDescent="0.25">
      <c r="A21" t="s">
        <v>151</v>
      </c>
      <c r="B21" t="s">
        <v>134</v>
      </c>
    </row>
    <row r="22" spans="1:2" x14ac:dyDescent="0.25">
      <c r="A22" t="s">
        <v>152</v>
      </c>
      <c r="B22" t="s">
        <v>142</v>
      </c>
    </row>
    <row r="23" spans="1:2" x14ac:dyDescent="0.25">
      <c r="A23" t="s">
        <v>153</v>
      </c>
      <c r="B23" t="s">
        <v>142</v>
      </c>
    </row>
    <row r="24" spans="1:2" x14ac:dyDescent="0.25">
      <c r="A24" t="s">
        <v>154</v>
      </c>
      <c r="B24" t="s">
        <v>142</v>
      </c>
    </row>
    <row r="25" spans="1:2" x14ac:dyDescent="0.25">
      <c r="A25" t="s">
        <v>155</v>
      </c>
      <c r="B25" t="s">
        <v>134</v>
      </c>
    </row>
    <row r="26" spans="1:2" x14ac:dyDescent="0.25">
      <c r="A26" t="s">
        <v>156</v>
      </c>
      <c r="B26" t="s">
        <v>142</v>
      </c>
    </row>
    <row r="27" spans="1:2" x14ac:dyDescent="0.25">
      <c r="A27" t="s">
        <v>44</v>
      </c>
      <c r="B27" t="s">
        <v>134</v>
      </c>
    </row>
    <row r="28" spans="1:2" x14ac:dyDescent="0.25">
      <c r="A28" t="s">
        <v>56</v>
      </c>
      <c r="B28" t="s">
        <v>142</v>
      </c>
    </row>
    <row r="29" spans="1:2" x14ac:dyDescent="0.25">
      <c r="A29" t="s">
        <v>92</v>
      </c>
      <c r="B29" t="s">
        <v>142</v>
      </c>
    </row>
    <row r="30" spans="1:2" x14ac:dyDescent="0.25">
      <c r="A30" t="s">
        <v>157</v>
      </c>
      <c r="B30" t="s">
        <v>134</v>
      </c>
    </row>
    <row r="31" spans="1:2" x14ac:dyDescent="0.25">
      <c r="A31" t="s">
        <v>158</v>
      </c>
      <c r="B31" t="s">
        <v>142</v>
      </c>
    </row>
    <row r="32" spans="1:2" x14ac:dyDescent="0.25">
      <c r="A32" t="s">
        <v>159</v>
      </c>
      <c r="B32" t="s">
        <v>142</v>
      </c>
    </row>
    <row r="33" spans="1:2" x14ac:dyDescent="0.25">
      <c r="A33" t="s">
        <v>160</v>
      </c>
      <c r="B33" t="s">
        <v>142</v>
      </c>
    </row>
    <row r="34" spans="1:2" x14ac:dyDescent="0.25">
      <c r="A34" t="s">
        <v>161</v>
      </c>
      <c r="B34" t="s">
        <v>134</v>
      </c>
    </row>
    <row r="35" spans="1:2" x14ac:dyDescent="0.25">
      <c r="A35" t="s">
        <v>162</v>
      </c>
      <c r="B35" t="s">
        <v>142</v>
      </c>
    </row>
    <row r="36" spans="1:2" x14ac:dyDescent="0.25">
      <c r="A36" t="s">
        <v>15</v>
      </c>
      <c r="B36" t="s">
        <v>142</v>
      </c>
    </row>
    <row r="37" spans="1:2" x14ac:dyDescent="0.25">
      <c r="A37" t="s">
        <v>67</v>
      </c>
      <c r="B37" t="s">
        <v>139</v>
      </c>
    </row>
    <row r="38" spans="1:2" x14ac:dyDescent="0.25">
      <c r="A38" t="s">
        <v>163</v>
      </c>
      <c r="B38" t="s">
        <v>139</v>
      </c>
    </row>
    <row r="39" spans="1:2" x14ac:dyDescent="0.25">
      <c r="A39" t="s">
        <v>20</v>
      </c>
      <c r="B39" t="s">
        <v>139</v>
      </c>
    </row>
    <row r="40" spans="1:2" x14ac:dyDescent="0.25">
      <c r="A40" t="s">
        <v>32</v>
      </c>
      <c r="B40" t="s">
        <v>139</v>
      </c>
    </row>
    <row r="41" spans="1:2" x14ac:dyDescent="0.25">
      <c r="A41" t="s">
        <v>164</v>
      </c>
      <c r="B41" t="s">
        <v>139</v>
      </c>
    </row>
    <row r="42" spans="1:2" x14ac:dyDescent="0.25">
      <c r="A42" t="s">
        <v>165</v>
      </c>
      <c r="B42" t="s">
        <v>139</v>
      </c>
    </row>
    <row r="43" spans="1:2" x14ac:dyDescent="0.25">
      <c r="A43" t="s">
        <v>78</v>
      </c>
      <c r="B43" t="s">
        <v>139</v>
      </c>
    </row>
    <row r="44" spans="1:2" x14ac:dyDescent="0.25">
      <c r="A44" t="s">
        <v>129</v>
      </c>
      <c r="B44" t="s">
        <v>139</v>
      </c>
    </row>
    <row r="45" spans="1:2" x14ac:dyDescent="0.25">
      <c r="A45" t="s">
        <v>23</v>
      </c>
      <c r="B45" t="s">
        <v>139</v>
      </c>
    </row>
    <row r="46" spans="1:2" x14ac:dyDescent="0.25">
      <c r="A46" t="s">
        <v>61</v>
      </c>
      <c r="B46" t="s">
        <v>139</v>
      </c>
    </row>
    <row r="47" spans="1:2" x14ac:dyDescent="0.25">
      <c r="A47" t="s">
        <v>59</v>
      </c>
      <c r="B47" t="s">
        <v>139</v>
      </c>
    </row>
    <row r="48" spans="1:2" x14ac:dyDescent="0.25">
      <c r="A48" t="s">
        <v>166</v>
      </c>
      <c r="B48" t="s">
        <v>139</v>
      </c>
    </row>
    <row r="49" spans="1:2" x14ac:dyDescent="0.25">
      <c r="A49" t="s">
        <v>21</v>
      </c>
      <c r="B49" t="s">
        <v>139</v>
      </c>
    </row>
    <row r="50" spans="1:2" x14ac:dyDescent="0.25">
      <c r="A50" t="s">
        <v>47</v>
      </c>
      <c r="B50" t="s">
        <v>139</v>
      </c>
    </row>
    <row r="51" spans="1:2" x14ac:dyDescent="0.25">
      <c r="A51" t="s">
        <v>46</v>
      </c>
      <c r="B51" t="s">
        <v>139</v>
      </c>
    </row>
    <row r="52" spans="1:2" x14ac:dyDescent="0.25">
      <c r="A52" t="s">
        <v>79</v>
      </c>
      <c r="B52" t="s">
        <v>134</v>
      </c>
    </row>
    <row r="53" spans="1:2" x14ac:dyDescent="0.25">
      <c r="A53" t="s">
        <v>167</v>
      </c>
      <c r="B53" t="s">
        <v>142</v>
      </c>
    </row>
    <row r="54" spans="1:2" x14ac:dyDescent="0.25">
      <c r="A54" t="s">
        <v>168</v>
      </c>
      <c r="B54" t="s">
        <v>134</v>
      </c>
    </row>
    <row r="55" spans="1:2" x14ac:dyDescent="0.25">
      <c r="A55" t="s">
        <v>169</v>
      </c>
      <c r="B55" t="s">
        <v>142</v>
      </c>
    </row>
    <row r="56" spans="1:2" x14ac:dyDescent="0.25">
      <c r="A56" t="s">
        <v>170</v>
      </c>
      <c r="B56" t="s">
        <v>134</v>
      </c>
    </row>
    <row r="57" spans="1:2" x14ac:dyDescent="0.25">
      <c r="A57" t="s">
        <v>76</v>
      </c>
      <c r="B57" t="s">
        <v>142</v>
      </c>
    </row>
    <row r="58" spans="1:2" x14ac:dyDescent="0.25">
      <c r="A58" t="s">
        <v>70</v>
      </c>
      <c r="B58" t="s">
        <v>142</v>
      </c>
    </row>
    <row r="59" spans="1:2" x14ac:dyDescent="0.25">
      <c r="A59" t="s">
        <v>171</v>
      </c>
      <c r="B59" t="s">
        <v>142</v>
      </c>
    </row>
    <row r="60" spans="1:2" x14ac:dyDescent="0.25">
      <c r="A60" t="s">
        <v>172</v>
      </c>
      <c r="B60" t="s">
        <v>142</v>
      </c>
    </row>
    <row r="61" spans="1:2" x14ac:dyDescent="0.25">
      <c r="A61" t="s">
        <v>173</v>
      </c>
      <c r="B61" t="s">
        <v>142</v>
      </c>
    </row>
    <row r="62" spans="1:2" x14ac:dyDescent="0.25">
      <c r="A62" t="s">
        <v>174</v>
      </c>
      <c r="B62" t="s">
        <v>139</v>
      </c>
    </row>
    <row r="63" spans="1:2" x14ac:dyDescent="0.25">
      <c r="A63" t="s">
        <v>68</v>
      </c>
      <c r="B63" t="s">
        <v>139</v>
      </c>
    </row>
    <row r="64" spans="1:2" x14ac:dyDescent="0.25">
      <c r="A64" t="s">
        <v>58</v>
      </c>
      <c r="B64" t="s">
        <v>139</v>
      </c>
    </row>
    <row r="65" spans="1:2" x14ac:dyDescent="0.25">
      <c r="A65" t="s">
        <v>106</v>
      </c>
      <c r="B65" t="s">
        <v>139</v>
      </c>
    </row>
    <row r="66" spans="1:2" x14ac:dyDescent="0.25">
      <c r="A66" t="s">
        <v>175</v>
      </c>
      <c r="B66" t="s">
        <v>139</v>
      </c>
    </row>
    <row r="67" spans="1:2" x14ac:dyDescent="0.25">
      <c r="A67" t="s">
        <v>176</v>
      </c>
      <c r="B67" t="s">
        <v>142</v>
      </c>
    </row>
    <row r="68" spans="1:2" x14ac:dyDescent="0.25">
      <c r="A68" t="s">
        <v>103</v>
      </c>
      <c r="B68" t="s">
        <v>142</v>
      </c>
    </row>
    <row r="69" spans="1:2" x14ac:dyDescent="0.25">
      <c r="A69" t="s">
        <v>43</v>
      </c>
      <c r="B69" t="s">
        <v>134</v>
      </c>
    </row>
    <row r="70" spans="1:2" x14ac:dyDescent="0.25">
      <c r="A70" t="s">
        <v>39</v>
      </c>
      <c r="B70" t="s">
        <v>134</v>
      </c>
    </row>
    <row r="71" spans="1:2" x14ac:dyDescent="0.25">
      <c r="A71" t="s">
        <v>177</v>
      </c>
      <c r="B71" t="s">
        <v>142</v>
      </c>
    </row>
    <row r="72" spans="1:2" x14ac:dyDescent="0.25">
      <c r="A72" t="s">
        <v>178</v>
      </c>
      <c r="B72" t="s">
        <v>142</v>
      </c>
    </row>
    <row r="73" spans="1:2" x14ac:dyDescent="0.25">
      <c r="A73" t="s">
        <v>179</v>
      </c>
      <c r="B73" t="s">
        <v>142</v>
      </c>
    </row>
    <row r="74" spans="1:2" x14ac:dyDescent="0.25">
      <c r="A74" t="s">
        <v>180</v>
      </c>
      <c r="B74" t="s">
        <v>142</v>
      </c>
    </row>
    <row r="75" spans="1:2" x14ac:dyDescent="0.25">
      <c r="A75" t="s">
        <v>181</v>
      </c>
      <c r="B75" t="s">
        <v>142</v>
      </c>
    </row>
    <row r="76" spans="1:2" x14ac:dyDescent="0.25">
      <c r="A76" t="s">
        <v>182</v>
      </c>
      <c r="B76" t="s">
        <v>142</v>
      </c>
    </row>
    <row r="77" spans="1:2" x14ac:dyDescent="0.25">
      <c r="A77" t="s">
        <v>86</v>
      </c>
      <c r="B77" t="s">
        <v>139</v>
      </c>
    </row>
    <row r="78" spans="1:2" x14ac:dyDescent="0.25">
      <c r="A78" t="s">
        <v>57</v>
      </c>
      <c r="B78" t="s">
        <v>134</v>
      </c>
    </row>
    <row r="79" spans="1:2" x14ac:dyDescent="0.25">
      <c r="A79" t="s">
        <v>183</v>
      </c>
      <c r="B79" t="s">
        <v>142</v>
      </c>
    </row>
    <row r="80" spans="1:2" x14ac:dyDescent="0.25">
      <c r="A80" t="s">
        <v>82</v>
      </c>
      <c r="B80" t="s">
        <v>142</v>
      </c>
    </row>
    <row r="81" spans="1:2" x14ac:dyDescent="0.25">
      <c r="A81" t="s">
        <v>184</v>
      </c>
      <c r="B81" t="s">
        <v>134</v>
      </c>
    </row>
    <row r="82" spans="1:2" x14ac:dyDescent="0.25">
      <c r="A82" t="s">
        <v>50</v>
      </c>
      <c r="B82" t="s">
        <v>134</v>
      </c>
    </row>
    <row r="83" spans="1:2" x14ac:dyDescent="0.25">
      <c r="A83" t="s">
        <v>185</v>
      </c>
      <c r="B83" t="s">
        <v>142</v>
      </c>
    </row>
    <row r="84" spans="1:2" x14ac:dyDescent="0.25">
      <c r="A84" t="s">
        <v>186</v>
      </c>
      <c r="B84" t="s">
        <v>139</v>
      </c>
    </row>
    <row r="85" spans="1:2" x14ac:dyDescent="0.25">
      <c r="A85" t="s">
        <v>102</v>
      </c>
      <c r="B85" t="s">
        <v>139</v>
      </c>
    </row>
    <row r="86" spans="1:2" x14ac:dyDescent="0.25">
      <c r="A86" t="s">
        <v>28</v>
      </c>
      <c r="B86" t="s">
        <v>139</v>
      </c>
    </row>
    <row r="87" spans="1:2" x14ac:dyDescent="0.25">
      <c r="A87" t="s">
        <v>187</v>
      </c>
      <c r="B87" t="s">
        <v>142</v>
      </c>
    </row>
    <row r="88" spans="1:2" x14ac:dyDescent="0.25">
      <c r="A88" t="s">
        <v>188</v>
      </c>
      <c r="B88" t="s">
        <v>142</v>
      </c>
    </row>
    <row r="89" spans="1:2" x14ac:dyDescent="0.25">
      <c r="A89" t="s">
        <v>41</v>
      </c>
      <c r="B89" t="s">
        <v>134</v>
      </c>
    </row>
    <row r="90" spans="1:2" x14ac:dyDescent="0.25">
      <c r="A90" t="s">
        <v>55</v>
      </c>
      <c r="B90" t="s">
        <v>134</v>
      </c>
    </row>
    <row r="91" spans="1:2" x14ac:dyDescent="0.25">
      <c r="A91" t="s">
        <v>62</v>
      </c>
      <c r="B91" t="s">
        <v>134</v>
      </c>
    </row>
    <row r="92" spans="1:2" x14ac:dyDescent="0.25">
      <c r="A92" t="s">
        <v>85</v>
      </c>
      <c r="B92" t="s">
        <v>139</v>
      </c>
    </row>
    <row r="93" spans="1:2" x14ac:dyDescent="0.25">
      <c r="A93" t="s">
        <v>189</v>
      </c>
      <c r="B93" t="s">
        <v>139</v>
      </c>
    </row>
    <row r="94" spans="1:2" x14ac:dyDescent="0.25">
      <c r="A94" t="s">
        <v>190</v>
      </c>
      <c r="B94" t="s">
        <v>139</v>
      </c>
    </row>
    <row r="95" spans="1:2" x14ac:dyDescent="0.25">
      <c r="A95" t="s">
        <v>88</v>
      </c>
      <c r="B95" t="s">
        <v>139</v>
      </c>
    </row>
    <row r="96" spans="1:2" x14ac:dyDescent="0.25">
      <c r="A96" t="s">
        <v>191</v>
      </c>
      <c r="B96" t="s">
        <v>142</v>
      </c>
    </row>
    <row r="97" spans="1:2" x14ac:dyDescent="0.25">
      <c r="A97" t="s">
        <v>192</v>
      </c>
      <c r="B97" t="s">
        <v>139</v>
      </c>
    </row>
    <row r="98" spans="1:2" x14ac:dyDescent="0.25">
      <c r="A98" t="s">
        <v>193</v>
      </c>
      <c r="B98" t="s">
        <v>139</v>
      </c>
    </row>
    <row r="99" spans="1:2" x14ac:dyDescent="0.25">
      <c r="A99" t="s">
        <v>194</v>
      </c>
      <c r="B99" t="s">
        <v>134</v>
      </c>
    </row>
    <row r="100" spans="1:2" x14ac:dyDescent="0.25">
      <c r="A100" t="s">
        <v>45</v>
      </c>
      <c r="B100" t="s">
        <v>134</v>
      </c>
    </row>
    <row r="101" spans="1:2" x14ac:dyDescent="0.25">
      <c r="A101" t="s">
        <v>195</v>
      </c>
      <c r="B101" t="s">
        <v>134</v>
      </c>
    </row>
    <row r="102" spans="1:2" x14ac:dyDescent="0.25">
      <c r="A102" t="s">
        <v>42</v>
      </c>
      <c r="B102" t="s">
        <v>134</v>
      </c>
    </row>
    <row r="103" spans="1:2" x14ac:dyDescent="0.25">
      <c r="A103" t="s">
        <v>196</v>
      </c>
      <c r="B103" t="s">
        <v>134</v>
      </c>
    </row>
    <row r="104" spans="1:2" x14ac:dyDescent="0.25">
      <c r="A104" t="s">
        <v>51</v>
      </c>
      <c r="B104" t="s">
        <v>142</v>
      </c>
    </row>
    <row r="105" spans="1:2" x14ac:dyDescent="0.25">
      <c r="A105" t="s">
        <v>197</v>
      </c>
      <c r="B105" t="s">
        <v>139</v>
      </c>
    </row>
    <row r="106" spans="1:2" x14ac:dyDescent="0.25">
      <c r="A106" t="s">
        <v>112</v>
      </c>
      <c r="B106" t="s">
        <v>139</v>
      </c>
    </row>
    <row r="107" spans="1:2" x14ac:dyDescent="0.25">
      <c r="A107" t="s">
        <v>198</v>
      </c>
      <c r="B107" t="s">
        <v>142</v>
      </c>
    </row>
    <row r="108" spans="1:2" x14ac:dyDescent="0.25">
      <c r="A108" t="s">
        <v>199</v>
      </c>
      <c r="B108" t="s">
        <v>142</v>
      </c>
    </row>
    <row r="109" spans="1:2" x14ac:dyDescent="0.25">
      <c r="A109" t="s">
        <v>124</v>
      </c>
      <c r="B109" t="s">
        <v>139</v>
      </c>
    </row>
    <row r="110" spans="1:2" x14ac:dyDescent="0.25">
      <c r="A110" t="s">
        <v>53</v>
      </c>
      <c r="B110" t="s">
        <v>142</v>
      </c>
    </row>
    <row r="111" spans="1:2" x14ac:dyDescent="0.25">
      <c r="A111" t="s">
        <v>110</v>
      </c>
      <c r="B111" t="s">
        <v>134</v>
      </c>
    </row>
    <row r="112" spans="1:2" x14ac:dyDescent="0.25">
      <c r="A112" t="s">
        <v>37</v>
      </c>
      <c r="B112" t="s">
        <v>134</v>
      </c>
    </row>
    <row r="113" spans="1:2" x14ac:dyDescent="0.25">
      <c r="A113" t="s">
        <v>64</v>
      </c>
      <c r="B113" t="s">
        <v>142</v>
      </c>
    </row>
    <row r="114" spans="1:2" x14ac:dyDescent="0.25">
      <c r="A114" t="s">
        <v>200</v>
      </c>
      <c r="B114" t="s">
        <v>142</v>
      </c>
    </row>
    <row r="115" spans="1:2" x14ac:dyDescent="0.25">
      <c r="A115" t="s">
        <v>201</v>
      </c>
      <c r="B115" t="s">
        <v>134</v>
      </c>
    </row>
    <row r="116" spans="1:2" x14ac:dyDescent="0.25">
      <c r="A116" t="s">
        <v>202</v>
      </c>
      <c r="B116" t="s">
        <v>142</v>
      </c>
    </row>
    <row r="117" spans="1:2" x14ac:dyDescent="0.25">
      <c r="A117" t="s">
        <v>96</v>
      </c>
      <c r="B117" t="s">
        <v>142</v>
      </c>
    </row>
    <row r="118" spans="1:2" x14ac:dyDescent="0.25">
      <c r="A118" t="s">
        <v>40</v>
      </c>
      <c r="B118" t="s">
        <v>142</v>
      </c>
    </row>
    <row r="119" spans="1:2" x14ac:dyDescent="0.25">
      <c r="A119" t="s">
        <v>69</v>
      </c>
      <c r="B119" t="s">
        <v>134</v>
      </c>
    </row>
    <row r="120" spans="1:2" x14ac:dyDescent="0.25">
      <c r="A120" t="s">
        <v>35</v>
      </c>
      <c r="B120" t="s">
        <v>142</v>
      </c>
    </row>
    <row r="121" spans="1:2" x14ac:dyDescent="0.25">
      <c r="A121" t="s">
        <v>36</v>
      </c>
      <c r="B121" t="s">
        <v>134</v>
      </c>
    </row>
    <row r="122" spans="1:2" x14ac:dyDescent="0.25">
      <c r="A122" t="s">
        <v>83</v>
      </c>
      <c r="B122" t="s">
        <v>134</v>
      </c>
    </row>
    <row r="123" spans="1:2" x14ac:dyDescent="0.25">
      <c r="A123" t="s">
        <v>99</v>
      </c>
      <c r="B123" t="s">
        <v>142</v>
      </c>
    </row>
    <row r="124" spans="1:2" x14ac:dyDescent="0.25">
      <c r="A124" t="s">
        <v>73</v>
      </c>
      <c r="B124" t="s">
        <v>134</v>
      </c>
    </row>
    <row r="125" spans="1:2" x14ac:dyDescent="0.25">
      <c r="A125" t="s">
        <v>34</v>
      </c>
      <c r="B125" t="s">
        <v>142</v>
      </c>
    </row>
    <row r="126" spans="1:2" x14ac:dyDescent="0.25">
      <c r="A126" t="s">
        <v>52</v>
      </c>
      <c r="B126" t="s">
        <v>134</v>
      </c>
    </row>
    <row r="127" spans="1:2" x14ac:dyDescent="0.25">
      <c r="A127" t="s">
        <v>48</v>
      </c>
      <c r="B127" t="s">
        <v>142</v>
      </c>
    </row>
    <row r="128" spans="1:2" x14ac:dyDescent="0.25">
      <c r="A128" t="s">
        <v>71</v>
      </c>
      <c r="B128" t="s">
        <v>134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500BD4-599F-4865-B520-B17884F83D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Dezembro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2025-01-07T16:31:38Z</dcterms:created>
  <dcterms:modified xsi:type="dcterms:W3CDTF">2025-01-10T14:35:09Z</dcterms:modified>
</cp:coreProperties>
</file>