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G:\Meu Drive\Area de trabalho\OCs - Fornecedores\6- JUNHO\"/>
    </mc:Choice>
  </mc:AlternateContent>
  <xr:revisionPtr revIDLastSave="0" documentId="8_{78B7F730-6C50-4E50-ADB1-CB221C4DC2DC}" xr6:coauthVersionLast="47" xr6:coauthVersionMax="47" xr10:uidLastSave="{00000000-0000-0000-0000-000000000000}"/>
  <bookViews>
    <workbookView xWindow="-96" yWindow="-96" windowWidth="23232" windowHeight="12432" xr2:uid="{F439167A-BAC4-4194-8F99-4797AA011EC9}"/>
  </bookViews>
  <sheets>
    <sheet name="Summary" sheetId="7" r:id="rId1"/>
    <sheet name="Junho 2025" sheetId="5" r:id="rId2"/>
    <sheet name="Vlookup" sheetId="6" r:id="rId3"/>
  </sheets>
  <definedNames>
    <definedName name="DadosExternos_3" localSheetId="1" hidden="1">'Junho 2025'!$A$1:$R$79</definedName>
  </definedNames>
  <calcPr calcId="191029"/>
  <pivotCaches>
    <pivotCache cacheId="25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6" i="5" l="1"/>
  <c r="R56" i="5"/>
  <c r="P57" i="5"/>
  <c r="R57" i="5"/>
  <c r="P58" i="5"/>
  <c r="R58" i="5"/>
  <c r="P59" i="5"/>
  <c r="R59" i="5"/>
  <c r="P60" i="5"/>
  <c r="R60" i="5"/>
  <c r="P61" i="5"/>
  <c r="R61" i="5"/>
  <c r="P62" i="5"/>
  <c r="R62" i="5"/>
  <c r="P63" i="5"/>
  <c r="R63" i="5"/>
  <c r="P64" i="5"/>
  <c r="R64" i="5"/>
  <c r="P65" i="5"/>
  <c r="R65" i="5"/>
  <c r="P66" i="5"/>
  <c r="R66" i="5"/>
  <c r="P67" i="5"/>
  <c r="R67" i="5"/>
  <c r="P68" i="5"/>
  <c r="R68" i="5"/>
  <c r="P69" i="5"/>
  <c r="R69" i="5"/>
  <c r="P70" i="5"/>
  <c r="R70" i="5"/>
  <c r="P71" i="5"/>
  <c r="R71" i="5"/>
  <c r="P72" i="5"/>
  <c r="R72" i="5"/>
  <c r="P73" i="5"/>
  <c r="R73" i="5"/>
  <c r="O74" i="5"/>
  <c r="P74" i="5"/>
  <c r="R74" i="5"/>
  <c r="O75" i="5"/>
  <c r="P75" i="5" s="1"/>
  <c r="R75" i="5"/>
  <c r="O76" i="5"/>
  <c r="P76" i="5" s="1"/>
  <c r="R76" i="5"/>
  <c r="O77" i="5"/>
  <c r="P77" i="5"/>
  <c r="R77" i="5"/>
  <c r="O78" i="5"/>
  <c r="P78" i="5" s="1"/>
  <c r="R78" i="5"/>
  <c r="O79" i="5"/>
  <c r="P79" i="5" s="1"/>
  <c r="R79" i="5"/>
  <c r="O2" i="5"/>
  <c r="P2" i="5" s="1"/>
  <c r="R2" i="5"/>
  <c r="O3" i="5"/>
  <c r="P3" i="5" s="1"/>
  <c r="R3" i="5"/>
  <c r="O4" i="5"/>
  <c r="P4" i="5" s="1"/>
  <c r="R4" i="5"/>
  <c r="O5" i="5"/>
  <c r="P5" i="5"/>
  <c r="R5" i="5"/>
  <c r="O6" i="5"/>
  <c r="P6" i="5"/>
  <c r="R6" i="5"/>
  <c r="O7" i="5"/>
  <c r="P7" i="5" s="1"/>
  <c r="R7" i="5"/>
  <c r="O8" i="5"/>
  <c r="P8" i="5" s="1"/>
  <c r="R8" i="5"/>
  <c r="O9" i="5"/>
  <c r="P9" i="5" s="1"/>
  <c r="R9" i="5"/>
  <c r="O10" i="5"/>
  <c r="P10" i="5" s="1"/>
  <c r="R10" i="5"/>
  <c r="O11" i="5"/>
  <c r="P11" i="5" s="1"/>
  <c r="R11" i="5"/>
  <c r="O12" i="5"/>
  <c r="P12" i="5" s="1"/>
  <c r="R12" i="5"/>
  <c r="O13" i="5"/>
  <c r="P13" i="5" s="1"/>
  <c r="R13" i="5"/>
  <c r="O14" i="5"/>
  <c r="P14" i="5"/>
  <c r="R14" i="5"/>
  <c r="O15" i="5"/>
  <c r="P15" i="5" s="1"/>
  <c r="R15" i="5"/>
  <c r="O16" i="5"/>
  <c r="P16" i="5" s="1"/>
  <c r="R16" i="5"/>
  <c r="O17" i="5"/>
  <c r="P17" i="5" s="1"/>
  <c r="R17" i="5"/>
  <c r="P18" i="5"/>
  <c r="R18" i="5"/>
  <c r="P19" i="5"/>
  <c r="R19" i="5"/>
  <c r="P20" i="5"/>
  <c r="R20" i="5"/>
  <c r="P21" i="5"/>
  <c r="R21" i="5"/>
  <c r="P22" i="5"/>
  <c r="R22" i="5"/>
  <c r="P23" i="5"/>
  <c r="R23" i="5"/>
  <c r="P24" i="5"/>
  <c r="R24" i="5"/>
  <c r="P25" i="5"/>
  <c r="R25" i="5"/>
  <c r="P26" i="5"/>
  <c r="R26" i="5"/>
  <c r="P27" i="5"/>
  <c r="R27" i="5"/>
  <c r="P28" i="5"/>
  <c r="R28" i="5"/>
  <c r="P29" i="5"/>
  <c r="R29" i="5"/>
  <c r="P30" i="5"/>
  <c r="R30" i="5"/>
  <c r="P31" i="5"/>
  <c r="R31" i="5"/>
  <c r="P32" i="5"/>
  <c r="R32" i="5"/>
  <c r="P33" i="5"/>
  <c r="R33" i="5"/>
  <c r="P34" i="5"/>
  <c r="R34" i="5"/>
  <c r="P35" i="5"/>
  <c r="R35" i="5"/>
  <c r="P36" i="5"/>
  <c r="R36" i="5"/>
  <c r="P37" i="5"/>
  <c r="R37" i="5"/>
  <c r="P38" i="5"/>
  <c r="R38" i="5"/>
  <c r="P39" i="5"/>
  <c r="R39" i="5"/>
  <c r="P40" i="5"/>
  <c r="R40" i="5"/>
  <c r="P41" i="5"/>
  <c r="R41" i="5"/>
  <c r="P42" i="5"/>
  <c r="R42" i="5"/>
  <c r="P43" i="5"/>
  <c r="R43" i="5"/>
  <c r="P44" i="5"/>
  <c r="R44" i="5"/>
  <c r="P45" i="5"/>
  <c r="R45" i="5"/>
  <c r="P46" i="5"/>
  <c r="R46" i="5"/>
  <c r="P47" i="5"/>
  <c r="R47" i="5"/>
  <c r="P48" i="5"/>
  <c r="R48" i="5"/>
  <c r="P49" i="5"/>
  <c r="R49" i="5"/>
  <c r="P50" i="5"/>
  <c r="R50" i="5"/>
  <c r="P51" i="5"/>
  <c r="R51" i="5"/>
  <c r="P52" i="5"/>
  <c r="R52" i="5"/>
  <c r="P53" i="5"/>
  <c r="R53" i="5"/>
  <c r="P54" i="5"/>
  <c r="R54" i="5"/>
  <c r="P55" i="5"/>
  <c r="R5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E82686-8BAF-4322-9F12-23F8A173819C}" keepAlive="1" name="Consulta - ApprovedTimeReport_000_202564" description="Conexão com a consulta 'ApprovedTimeReport_000_202564' na pasta de trabalho." type="5" refreshedVersion="0" background="1">
    <dbPr connection="Provider=Microsoft.Mashup.OleDb.1;Data Source=$Workbook$;Location=ApprovedTimeReport_000_202564;Extended Properties=&quot;&quot;" command="SELECT * FROM [ApprovedTimeReport_000_202564]"/>
  </connection>
  <connection id="2" xr16:uid="{616E05AA-393D-4DB3-BF8D-FFAA2E143959}" keepAlive="1" name="Consulta - ApprovedTimeReport_000_202564 (1)" description="Conexão com a consulta 'ApprovedTimeReport_000_202564 (1)' na pasta de trabalho." type="5" refreshedVersion="0" background="1">
    <dbPr connection="Provider=Microsoft.Mashup.OleDb.1;Data Source=$Workbook$;Location=&quot;ApprovedTimeReport_000_202564 (1)&quot;;Extended Properties=&quot;&quot;" command="SELECT * FROM [ApprovedTimeReport_000_202564 (1)]"/>
  </connection>
  <connection id="3" xr16:uid="{CB9AFA45-8782-4AA1-B33C-F090026D9C30}" keepAlive="1" name="Consulta - ApprovedTimeReport_000_202567" description="Conexão com a consulta 'ApprovedTimeReport_000_202567' na pasta de trabalho." type="5" refreshedVersion="0" background="1">
    <dbPr connection="Provider=Microsoft.Mashup.OleDb.1;Data Source=$Workbook$;Location=ApprovedTimeReport_000_202567;Extended Properties=&quot;&quot;" command="SELECT * FROM [ApprovedTimeReport_000_202567]"/>
  </connection>
  <connection id="4" xr16:uid="{2A3FB175-C527-484D-9A30-350D271E753A}" keepAlive="1" name="Consulta - ApprovedTimeReport_000_202567 (1)" description="Conexão com a consulta 'ApprovedTimeReport_000_202567 (1)' na pasta de trabalho." type="5" refreshedVersion="8" background="1" saveData="1">
    <dbPr connection="Provider=Microsoft.Mashup.OleDb.1;Data Source=$Workbook$;Location=&quot;ApprovedTimeReport_000_202567 (1)&quot;;Extended Properties=&quot;&quot;" command="SELECT * FROM [ApprovedTimeReport_000_202567 (1)]"/>
  </connection>
</connections>
</file>

<file path=xl/sharedStrings.xml><?xml version="1.0" encoding="utf-8"?>
<sst xmlns="http://schemas.openxmlformats.org/spreadsheetml/2006/main" count="989" uniqueCount="316">
  <si>
    <t>FunnelID</t>
  </si>
  <si>
    <t>Work Date</t>
  </si>
  <si>
    <t>Date TimeSheet</t>
  </si>
  <si>
    <t>CCID</t>
  </si>
  <si>
    <t>Year</t>
  </si>
  <si>
    <t>Month</t>
  </si>
  <si>
    <t>Day</t>
  </si>
  <si>
    <t>Week</t>
  </si>
  <si>
    <t>Time Actual</t>
  </si>
  <si>
    <t>Company</t>
  </si>
  <si>
    <t>Resource Name</t>
  </si>
  <si>
    <t>Role</t>
  </si>
  <si>
    <t>Comments</t>
  </si>
  <si>
    <t>CostRate</t>
  </si>
  <si>
    <t>Customer Name</t>
  </si>
  <si>
    <t>NBP-PEVO129</t>
  </si>
  <si>
    <t>SOW</t>
  </si>
  <si>
    <t>Vockan Consulting Ltda</t>
  </si>
  <si>
    <t>NBP-PEVO99</t>
  </si>
  <si>
    <t>080-VckAnd</t>
  </si>
  <si>
    <t>NBP-PEVO131</t>
  </si>
  <si>
    <t>NBP-PEVO109</t>
  </si>
  <si>
    <t>NBP-PEVO102</t>
  </si>
  <si>
    <t>Project Manager</t>
  </si>
  <si>
    <t>002-VCKDSCPQAD</t>
  </si>
  <si>
    <t>NBP-PEVO133</t>
  </si>
  <si>
    <t>NBP-PEVO96</t>
  </si>
  <si>
    <t>8170-VCK452</t>
  </si>
  <si>
    <t>APTIV Man e Serv de Distr. Ltda</t>
  </si>
  <si>
    <t>12570-VCK638</t>
  </si>
  <si>
    <t>NBP-PEVO103</t>
  </si>
  <si>
    <t>NBP-PEVO107</t>
  </si>
  <si>
    <t>Program Manager</t>
  </si>
  <si>
    <t>NBP-PEVO104</t>
  </si>
  <si>
    <t>13712-VCK460</t>
  </si>
  <si>
    <t>NBP-PEVO135</t>
  </si>
  <si>
    <t>131-VckAut</t>
  </si>
  <si>
    <t>NBP-PEVO123</t>
  </si>
  <si>
    <t>8034-VCK474</t>
  </si>
  <si>
    <t>496-VCK472</t>
  </si>
  <si>
    <t>4328-VCK1760</t>
  </si>
  <si>
    <t>ZF Passive Safety System Brazil Ltda</t>
  </si>
  <si>
    <t>NBP-PEVO130</t>
  </si>
  <si>
    <t>13688-VCK448</t>
  </si>
  <si>
    <t>13632-VCK538</t>
  </si>
  <si>
    <t>458-VCK492</t>
  </si>
  <si>
    <t>12638-VCK4036</t>
  </si>
  <si>
    <t>AMVAC do Brasil Representacoes</t>
  </si>
  <si>
    <t>13880-VCK1894</t>
  </si>
  <si>
    <t>7962-VCK448</t>
  </si>
  <si>
    <t>4776-VCK488</t>
  </si>
  <si>
    <t>13670-VCK12218</t>
  </si>
  <si>
    <t>13856-VCK12274</t>
  </si>
  <si>
    <t>8040-VCK490</t>
  </si>
  <si>
    <t>Freudenberg Nok Comp Br Ltd</t>
  </si>
  <si>
    <t>SUP-4Days</t>
  </si>
  <si>
    <t>SUP-Outros Projetos</t>
  </si>
  <si>
    <t>SUP-Treinamento</t>
  </si>
  <si>
    <t>NBP-QADBR+_Lean</t>
  </si>
  <si>
    <t>DOSCOBQAD</t>
  </si>
  <si>
    <t>666-VCK478</t>
  </si>
  <si>
    <t>Clarios Energy Solutions Brasil</t>
  </si>
  <si>
    <t>NBP-PEVO132</t>
  </si>
  <si>
    <t>8168-VCK514</t>
  </si>
  <si>
    <t>OXBO DO BRASIL EQUIPAMENTOS</t>
  </si>
  <si>
    <t>872-VCK478</t>
  </si>
  <si>
    <t>NBP-PEVO110</t>
  </si>
  <si>
    <t>Sietech</t>
  </si>
  <si>
    <t>Nelson Simoes</t>
  </si>
  <si>
    <t>Alinhamento com Fabio</t>
  </si>
  <si>
    <t>610-VCK528</t>
  </si>
  <si>
    <t>952-VCK446</t>
  </si>
  <si>
    <t>NBP-PEVO122</t>
  </si>
  <si>
    <t>Preparação de material e reunião de discovery Agilista com Abengoa, alinhamento com Adium sobre reforma Tributária</t>
  </si>
  <si>
    <t>NB-BITRIX</t>
  </si>
  <si>
    <t>Alinhamento com funcionais Aptiv</t>
  </si>
  <si>
    <t>Scrum, tratamento de projetos em andamento, aprovações e manutenção v-control</t>
  </si>
  <si>
    <t>8172-VCK476</t>
  </si>
  <si>
    <t>4460-vck460</t>
  </si>
  <si>
    <t>12558-VCK508</t>
  </si>
  <si>
    <t>068-vckcar</t>
  </si>
  <si>
    <t>USP15072</t>
  </si>
  <si>
    <t>SUP-Apontamento</t>
  </si>
  <si>
    <t>SUP-Reuniao</t>
  </si>
  <si>
    <t>SUP-Horas NT</t>
  </si>
  <si>
    <t>13702-VCK4036</t>
  </si>
  <si>
    <t>13776-VCK450</t>
  </si>
  <si>
    <t>Alinhamento sobre pauta semana e POC</t>
  </si>
  <si>
    <t>12594-VCK520</t>
  </si>
  <si>
    <t>2128-VCK490</t>
  </si>
  <si>
    <t>Reunião como Fabio, reunião com Guilherme</t>
  </si>
  <si>
    <t>876-VCK490</t>
  </si>
  <si>
    <t>Alinhamento com Hilmar, diária com Parinelli, scrum, 1:1 André, update Viagem</t>
  </si>
  <si>
    <t>NBP-PEVO116</t>
  </si>
  <si>
    <t>NBP-PEVO120</t>
  </si>
  <si>
    <t>13748-VCK510</t>
  </si>
  <si>
    <t>13680-VCK1760</t>
  </si>
  <si>
    <t>Alinhamento com Koga sobre BI, alinhamento com Fabio</t>
  </si>
  <si>
    <t>Reunião com Gabriel, Scrum, alinhamento com Parpinelli</t>
  </si>
  <si>
    <t>Tratamento de Backlog, reunião com Cestari</t>
  </si>
  <si>
    <t>Alinhamento semanal e interno sobre demandas iniciais Clarios</t>
  </si>
  <si>
    <t>Apresentação e material para BPO Nexteer</t>
  </si>
  <si>
    <t>472-VCK450</t>
  </si>
  <si>
    <t>Tratamento de demanda BPO com Gabriel</t>
  </si>
  <si>
    <t>Reunião tec com Casco, Alinhamento com Alan sobre Gabriel, Scrum, alinhamento com Renato sobre Android</t>
  </si>
  <si>
    <t>Atualização de propostas</t>
  </si>
  <si>
    <t>1:1 Fabio, alinhamento com equipe de BPO Operacional</t>
  </si>
  <si>
    <t>Reunião com Hilmar, scrum, alinhamento de projetos, projetos em risco</t>
  </si>
  <si>
    <t>NB-Projetos e Consultoria</t>
  </si>
  <si>
    <t>Alinhamento com Fabio, PMO, comite executivo, alinhamento de bpo com Guilherme e Daniel</t>
  </si>
  <si>
    <t>Tratamento de demandas em sprint</t>
  </si>
  <si>
    <t>Tratamento de backlog de desenvolvimento, reunião com Hilmar</t>
  </si>
  <si>
    <t>Reunião semanal com Funcionais Aptiv, tratamento de demanda do MRP com Hilmar</t>
  </si>
  <si>
    <t>Revisão de documentação - Guia BPO, tratamento de backlog no JSM para Lifetc e Aptiv</t>
  </si>
  <si>
    <t>Reunião tec Clarios US, reunião 1:1 com Parpinelli, planejamento de sprint</t>
  </si>
  <si>
    <t>Tratamento de funil no Bitrix</t>
  </si>
  <si>
    <t>Reunião de acompanhamento semanal no Bitrix</t>
  </si>
  <si>
    <t>872-VCK514</t>
  </si>
  <si>
    <t>Backlog Aptiv</t>
  </si>
  <si>
    <t>13690-VCK10458</t>
  </si>
  <si>
    <t>Alinhamento sobre testes da POC com time de funcionais</t>
  </si>
  <si>
    <t>12345-VCK123</t>
  </si>
  <si>
    <t>Fechamento de demandas conduzidas pela Marcia e Gabriel na sprint</t>
  </si>
  <si>
    <t>12598-VCK638</t>
  </si>
  <si>
    <t>Fechamento de sprint, alinhamento com Hilmar</t>
  </si>
  <si>
    <t>Reunião 1:1 Fabio, reunião com Clarios sobre prioridades</t>
  </si>
  <si>
    <t>Discovery Nexteer</t>
  </si>
  <si>
    <t>Alinhamento com Fabio, tratamento de demandas com funcionais</t>
  </si>
  <si>
    <t>Alinhamento com equipe sobre treinamento low code/no code, report projetos, reunião com hilmar, scrum</t>
  </si>
  <si>
    <t>Reunião com Guilherme sobre leads de agilista, definição de planilha de acompanhamento.</t>
  </si>
  <si>
    <t>8102-VCK492</t>
  </si>
  <si>
    <t>8184-VCK446</t>
  </si>
  <si>
    <t>Reunião com André, checkpoint com Parpinelli sobre pocs e Tiago, Scrum</t>
  </si>
  <si>
    <t>Acompanhamento de propostas, alinhamento com comercial</t>
  </si>
  <si>
    <t>Reunião com Fabio, acompanhamento de funcionais</t>
  </si>
  <si>
    <t>Reunião com time Aptiv</t>
  </si>
  <si>
    <t>Entrevista com consultor BPO, Elton, alinhamento com Fabio</t>
  </si>
  <si>
    <t>Reunião de alinhamento Clarios, reunião com Zeiss</t>
  </si>
  <si>
    <t>Repriorização de demandas com Hilmar, teratamento de estimativas de projetos, alinhamento com André, scrum</t>
  </si>
  <si>
    <t>13684-VCK494</t>
  </si>
  <si>
    <t>13678-VCK7996</t>
  </si>
  <si>
    <t>Alinhamento semanal, reunião com Fabio</t>
  </si>
  <si>
    <t>Alinhamento de demandas da semana</t>
  </si>
  <si>
    <t>Reunião com Leopoldo sobre POC</t>
  </si>
  <si>
    <t>FUP Bitrix e propostas</t>
  </si>
  <si>
    <t>Tratamento de backlog e reunião semanal</t>
  </si>
  <si>
    <t>Fup Bitrix BPO</t>
  </si>
  <si>
    <t>PMO Executive Status Review</t>
  </si>
  <si>
    <t>Scrum, Alinhamento com Hilmar</t>
  </si>
  <si>
    <t>Reunião semanal com Fabio e alinhamento sobre riscos</t>
  </si>
  <si>
    <t>Aptiv Cloud e Adium tech</t>
  </si>
  <si>
    <t>NBP-PEVO128</t>
  </si>
  <si>
    <t>Alinhamento presencial com Andre Miranda e alinhamento com Parpinelli, Scrum</t>
  </si>
  <si>
    <t>Acompanhamento de gestão de riscos com Daniel, e update de projetos de BPO</t>
  </si>
  <si>
    <t>Scrum, reunião com Hilmar</t>
  </si>
  <si>
    <t>Alinhamento com Daniel e Guilherme, reunião com Fábio</t>
  </si>
  <si>
    <t>Reunião Adium e levantamento de patches</t>
  </si>
  <si>
    <t>Ajustes propostas Aptiv</t>
  </si>
  <si>
    <t>Fup Mauser e Clarios</t>
  </si>
  <si>
    <t>NBP-PEVO115</t>
  </si>
  <si>
    <t>Alinhamento com Fabio, reunião com Exchange para playbook de bpo, revisão de tarefas com CSP, tratamento de backlog</t>
  </si>
  <si>
    <t>Reunião com funcionais Aptiv</t>
  </si>
  <si>
    <t>Scrum, alinhamento TEC com Parpinelli</t>
  </si>
  <si>
    <t>atualização de propostas</t>
  </si>
  <si>
    <t>1:1 Gabriel, Scrum</t>
  </si>
  <si>
    <t>Alinhamento Fabio</t>
  </si>
  <si>
    <t>Reunião semanal e mobilização de equipe para downtime</t>
  </si>
  <si>
    <t>Alinhamento de demandas na sprint, planejamento</t>
  </si>
  <si>
    <t>Acompanhamento de backlog e alinhamento com funcionais</t>
  </si>
  <si>
    <t>Planejamento de atividades do Parrillo</t>
  </si>
  <si>
    <t>Planejamento de sprint</t>
  </si>
  <si>
    <t>1:1 Fabio, alinhamento com funcionais</t>
  </si>
  <si>
    <t>NBP-PEVO97</t>
  </si>
  <si>
    <t>Webnar trabalho remoto</t>
  </si>
  <si>
    <t>Alinhamento fase 2 mudança de vw246 Pinhal</t>
  </si>
  <si>
    <t>Fechamento Sprint</t>
  </si>
  <si>
    <t>Aptiv cloud</t>
  </si>
  <si>
    <t>Alinhamento com Leopoldo e estrategia POC</t>
  </si>
  <si>
    <t>13694-VCK472</t>
  </si>
  <si>
    <t>PPT Poc services, scrum, alinhamento projetos</t>
  </si>
  <si>
    <t>alinhamento com Fabio e Guilherme</t>
  </si>
  <si>
    <t>8762-VCK638</t>
  </si>
  <si>
    <t>NBP-PREVENDA</t>
  </si>
  <si>
    <t>NBP-HERA</t>
  </si>
  <si>
    <t>NB-Support</t>
  </si>
  <si>
    <t>Project Type</t>
  </si>
  <si>
    <t>074-Vckadi</t>
  </si>
  <si>
    <t>FF</t>
  </si>
  <si>
    <t>095-vckadi</t>
  </si>
  <si>
    <t>128-VckAdi</t>
  </si>
  <si>
    <t>806-Vck446</t>
  </si>
  <si>
    <t>NB</t>
  </si>
  <si>
    <t>049-VckAmv</t>
  </si>
  <si>
    <t>089-vckand</t>
  </si>
  <si>
    <t>A7lAPT28665</t>
  </si>
  <si>
    <t>T&amp;M</t>
  </si>
  <si>
    <t>010-VckBim</t>
  </si>
  <si>
    <t>115-VCKCER</t>
  </si>
  <si>
    <t>452-VCK476</t>
  </si>
  <si>
    <t>090-VckCnh</t>
  </si>
  <si>
    <t>368-VCK490</t>
  </si>
  <si>
    <t>100-VckHan</t>
  </si>
  <si>
    <t>043-VckHuf</t>
  </si>
  <si>
    <t>406-VCK498</t>
  </si>
  <si>
    <t>fwoJoy58673</t>
  </si>
  <si>
    <t>124-VckMue</t>
  </si>
  <si>
    <t>061-VckNid</t>
  </si>
  <si>
    <t>111-VckNid</t>
  </si>
  <si>
    <t>868-VCKNID</t>
  </si>
  <si>
    <t>046-VckOxb</t>
  </si>
  <si>
    <t>096-VckOxb</t>
  </si>
  <si>
    <t>484-VCK514</t>
  </si>
  <si>
    <t>093-Vckser</t>
  </si>
  <si>
    <t>001-VCKSIT</t>
  </si>
  <si>
    <t>002-VckSIT</t>
  </si>
  <si>
    <t>FWOSMR62794</t>
  </si>
  <si>
    <t>362-VCK528</t>
  </si>
  <si>
    <t>VCK692</t>
  </si>
  <si>
    <t>151-VckTow</t>
  </si>
  <si>
    <t>NB-BPO e PMO</t>
  </si>
  <si>
    <t>NB-CloudCert2023</t>
  </si>
  <si>
    <t>NB-Consultoria-Tec&amp;Dev</t>
  </si>
  <si>
    <t>NBP-CAIOBA</t>
  </si>
  <si>
    <t>NBP-Capacitacao</t>
  </si>
  <si>
    <t>NBP-Governanca</t>
  </si>
  <si>
    <t>NB-Scrum-Dev</t>
  </si>
  <si>
    <t>NB-Squad_DevTec</t>
  </si>
  <si>
    <t>NB-Treinamento</t>
  </si>
  <si>
    <t>154-vckZF</t>
  </si>
  <si>
    <t>155-vckZF</t>
  </si>
  <si>
    <t>088-VckZod</t>
  </si>
  <si>
    <t>097+110-vckadi</t>
  </si>
  <si>
    <t>127-VckAdi</t>
  </si>
  <si>
    <t>370-vck22</t>
  </si>
  <si>
    <t>788-VCK692</t>
  </si>
  <si>
    <t>858-VCK488</t>
  </si>
  <si>
    <t>ZF_894-VCK542</t>
  </si>
  <si>
    <t>NBP-Implantacao-BPO</t>
  </si>
  <si>
    <t>NBP-PE-PLAN10</t>
  </si>
  <si>
    <t>NBP-PE-PLAN12</t>
  </si>
  <si>
    <t>NBP-PE-PLAN23</t>
  </si>
  <si>
    <t>NB-Universidades</t>
  </si>
  <si>
    <t>CSA</t>
  </si>
  <si>
    <t>434-VCK448</t>
  </si>
  <si>
    <t>860-VCK562</t>
  </si>
  <si>
    <t>862-VCK538</t>
  </si>
  <si>
    <t>884-VCK526</t>
  </si>
  <si>
    <t>886-VCK704</t>
  </si>
  <si>
    <t>890-VCK500</t>
  </si>
  <si>
    <t>944-VCK528</t>
  </si>
  <si>
    <t>NBP-PLAN107</t>
  </si>
  <si>
    <t>1062-VCK466</t>
  </si>
  <si>
    <t>826-VCK504</t>
  </si>
  <si>
    <t>970-VCK514</t>
  </si>
  <si>
    <t>436-VCK520</t>
  </si>
  <si>
    <t>786-VCK538</t>
  </si>
  <si>
    <t>NBP-WEBUI-FIN</t>
  </si>
  <si>
    <t>NB-VCC</t>
  </si>
  <si>
    <t>950-VCK862</t>
  </si>
  <si>
    <t>984-VCK538</t>
  </si>
  <si>
    <t>480-VCK452</t>
  </si>
  <si>
    <t>448-VCK494</t>
  </si>
  <si>
    <t>NBP-PLAN-112</t>
  </si>
  <si>
    <t>NBP-PLAN17</t>
  </si>
  <si>
    <t>NBP-Trein_Vendas</t>
  </si>
  <si>
    <t>NBP-WEBUI-LOC</t>
  </si>
  <si>
    <t>976-VCK510</t>
  </si>
  <si>
    <t>NBP-AMCHAM</t>
  </si>
  <si>
    <t>059-VckAdi</t>
  </si>
  <si>
    <t>888-vck446</t>
  </si>
  <si>
    <t>2174-VCK448</t>
  </si>
  <si>
    <t>4320-VCK452</t>
  </si>
  <si>
    <t>4350-VCK514</t>
  </si>
  <si>
    <t>4520-VCK472</t>
  </si>
  <si>
    <t>NB-MKT</t>
  </si>
  <si>
    <t>968-vck452</t>
  </si>
  <si>
    <t>5012-VCK446</t>
  </si>
  <si>
    <t>4358-VCK510</t>
  </si>
  <si>
    <t>2024-VCK490</t>
  </si>
  <si>
    <t>2150-VCK494</t>
  </si>
  <si>
    <t>4348-VCK508</t>
  </si>
  <si>
    <t>4436-VCK446</t>
  </si>
  <si>
    <t>4522-VCK452</t>
  </si>
  <si>
    <t>7950-VCK508</t>
  </si>
  <si>
    <t>7958-VCK446</t>
  </si>
  <si>
    <t>8082-VCK638</t>
  </si>
  <si>
    <t>7938-VCK446</t>
  </si>
  <si>
    <t>7960-VCK446</t>
  </si>
  <si>
    <t>7988-VCK446</t>
  </si>
  <si>
    <t>8038-VCK452</t>
  </si>
  <si>
    <t>7956-VCK538</t>
  </si>
  <si>
    <t>NBP-PLAN-115</t>
  </si>
  <si>
    <t>8028-VCK510</t>
  </si>
  <si>
    <t>8124-VCK488</t>
  </si>
  <si>
    <t>8126-VCK510</t>
  </si>
  <si>
    <t>8132-VCK488</t>
  </si>
  <si>
    <t>4480-VCK504</t>
  </si>
  <si>
    <t>8152-VCK452</t>
  </si>
  <si>
    <t>NB-Suporte</t>
  </si>
  <si>
    <t>8120-VCK508</t>
  </si>
  <si>
    <t>8274-VCK638</t>
  </si>
  <si>
    <t>8296-VCK638</t>
  </si>
  <si>
    <t>12564-VCK504</t>
  </si>
  <si>
    <t>CostRate w/ Taxes</t>
  </si>
  <si>
    <t>Total Cost</t>
  </si>
  <si>
    <t>Rótulos de Linha</t>
  </si>
  <si>
    <t>Total Geral</t>
  </si>
  <si>
    <t>Soma de Time Actual</t>
  </si>
  <si>
    <t>Soma de Total Cost</t>
  </si>
  <si>
    <t>Sietech Total</t>
  </si>
  <si>
    <t>FF Total</t>
  </si>
  <si>
    <t>NB Total</t>
  </si>
  <si>
    <t>T&amp;M Total</t>
  </si>
  <si>
    <t>BRP2751</t>
  </si>
  <si>
    <t>BRP2752</t>
  </si>
  <si>
    <t>BRP2753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</si>
</sst>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_ ;\-#,##0.00\ "/>
    <numFmt numFmtId="165" formatCode="#,##0_ ;\-#,##0\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3" borderId="0" xfId="0" applyFill="1"/>
    <xf numFmtId="43" fontId="0" fillId="0" borderId="0" xfId="1" applyFont="1"/>
    <xf numFmtId="0" fontId="0" fillId="0" borderId="0" xfId="0" pivotButton="1"/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165" fontId="0" fillId="0" borderId="0" xfId="0" applyNumberFormat="1"/>
    <xf numFmtId="165" fontId="0" fillId="5" borderId="0" xfId="0" applyNumberFormat="1" applyFill="1"/>
    <xf numFmtId="165" fontId="0" fillId="4" borderId="0" xfId="0" applyNumberFormat="1" applyFill="1"/>
    <xf numFmtId="43" fontId="0" fillId="0" borderId="0" xfId="0" applyNumberFormat="1"/>
  </cellXfs>
  <cellStyles count="2">
    <cellStyle name="Normal" xfId="0" builtinId="0"/>
    <cellStyle name="Vírgula" xfId="1" builtinId="3"/>
  </cellStyles>
  <dxfs count="30">
    <dxf>
      <fill>
        <patternFill patternType="solid"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 patternType="solid">
          <bgColor theme="3" tint="0.749992370372631"/>
        </patternFill>
      </fill>
    </dxf>
    <dxf>
      <numFmt numFmtId="35" formatCode="_-* #,##0.00_-;\-* #,##0.00_-;_-* &quot;-&quot;??_-;_-@_-"/>
    </dxf>
    <dxf>
      <numFmt numFmtId="165" formatCode="#,##0_ ;\-#,##0\ "/>
    </dxf>
    <dxf>
      <fill>
        <patternFill patternType="solid"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 patternType="solid">
          <bgColor theme="3" tint="0.749992370372631"/>
        </patternFill>
      </fill>
    </dxf>
    <dxf>
      <numFmt numFmtId="35" formatCode="_-* #,##0.00_-;\-* #,##0.00_-;_-* &quot;-&quot;??_-;_-@_-"/>
    </dxf>
    <dxf>
      <numFmt numFmtId="165" formatCode="#,##0_ ;\-#,##0\ 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6" formatCode="m/d/yyyy"/>
    </dxf>
    <dxf>
      <numFmt numFmtId="19" formatCode="dd/mm/yyyy"/>
    </dxf>
    <dxf>
      <numFmt numFmtId="166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atriz Melo" refreshedDate="45846.482752662036" createdVersion="6" refreshedVersion="8" minRefreshableVersion="3" recordCount="1611" xr:uid="{5A7CD6A2-1812-4E2F-873F-3791F8DC1BF7}">
  <cacheSource type="worksheet">
    <worksheetSource ref="A1:R1048576" sheet="Junho 2025"/>
  </cacheSource>
  <cacheFields count="18">
    <cacheField name="FunnelID" numFmtId="0">
      <sharedItems containsBlank="1" count="82">
        <s v="12638-VCK4036"/>
        <s v="8170-VCK452"/>
        <s v="666-VCK478"/>
        <s v="876-VCK490"/>
        <s v="8168-VCK514"/>
        <s v="NBP-PEVO103"/>
        <s v="NBP-PEVO110"/>
        <s v="NBP-PEVO122"/>
        <s v="NBP-PEVO123"/>
        <s v="NBP-PEVO99"/>
        <s v="4328-VCK1760"/>
        <m/>
        <s v="8184-VCK446" u="1"/>
        <s v="952-VCK446" u="1"/>
        <s v="13688-VCK448" u="1"/>
        <s v="7962-VCK448" u="1"/>
        <s v="13702-VCK4036" u="1"/>
        <s v="080-VckAnd" u="1"/>
        <s v="472-VCK450" u="1"/>
        <s v="13776-VCK450" u="1"/>
        <s v="131-VckAut" u="1"/>
        <s v="13880-VCK1894" u="1"/>
        <s v="NB-Support" u="1"/>
        <s v="13712-VCK460" u="1"/>
        <s v="4460-vck460" u="1"/>
        <s v="13670-VCK12218" u="1"/>
        <s v="068-vckcar" u="1"/>
        <s v="13694-VCK472" u="1"/>
        <s v="496-VCK472" u="1"/>
        <s v="8034-VCK474" u="1"/>
        <s v="8172-VCK476" u="1"/>
        <s v="872-VCK478" u="1"/>
        <s v="13690-VCK10458" u="1"/>
        <s v="2128-VCK490" u="1"/>
        <s v="8040-VCK490" u="1"/>
        <s v="458-VCK492" u="1"/>
        <s v="8102-VCK492" u="1"/>
        <s v="13684-VCK494" u="1"/>
        <s v="12345-VCK123" u="1"/>
        <s v="12558-VCK508" u="1"/>
        <s v="13748-VCK510" u="1"/>
        <s v="872-VCK514" u="1"/>
        <s v="002-VCKDSCPQAD" u="1"/>
        <s v="12570-VCK638" u="1"/>
        <s v="12598-VCK638" u="1"/>
        <s v="8762-VCK638" u="1"/>
        <s v="CSA" u="1"/>
        <s v="12594-VCK520" u="1"/>
        <s v="13856-VCK12274" u="1"/>
        <s v="610-VCK528" u="1"/>
        <s v="13632-VCK538" u="1"/>
        <s v="4776-VCK488" u="1"/>
        <s v="NB-BITRIX" u="1"/>
        <s v="NBP-HERA" u="1"/>
        <s v="NBP-PEVO102" u="1"/>
        <s v="NBP-PEVO104" u="1"/>
        <s v="NBP-PEVO107" u="1"/>
        <s v="NBP-PEVO109" u="1"/>
        <s v="NBP-PEVO115" u="1"/>
        <s v="NBP-PEVO116" u="1"/>
        <s v="NBP-PEVO120" u="1"/>
        <s v="NBP-PEVO128" u="1"/>
        <s v="NBP-PEVO129" u="1"/>
        <s v="NBP-PEVO130" u="1"/>
        <s v="NBP-PEVO131" u="1"/>
        <s v="NBP-PEVO132" u="1"/>
        <s v="NBP-PEVO133" u="1"/>
        <s v="NBP-PEVO135" u="1"/>
        <s v="NBP-PEVO96" u="1"/>
        <s v="NBP-PEVO97" u="1"/>
        <s v="NBP-PREVENDA" u="1"/>
        <s v="NBP-QADBR+_Lean" u="1"/>
        <s v="NB-Projetos e Consultoria" u="1"/>
        <s v="SUP-4Days" u="1"/>
        <s v="SUP-Apontamento" u="1"/>
        <s v="SUP-Horas NT" u="1"/>
        <s v="SUP-Outros Projetos" u="1"/>
        <s v="SUP-Reuniao" u="1"/>
        <s v="SUP-Treinamento" u="1"/>
        <s v="13678-VCK7996" u="1"/>
        <s v="13680-VCK1760" u="1"/>
        <s v="NB-Consultoria-Tec&amp;Dev" u="1"/>
      </sharedItems>
    </cacheField>
    <cacheField name="Work Date" numFmtId="0">
      <sharedItems containsNonDate="0" containsDate="1" containsString="0" containsBlank="1" minDate="2025-06-02T00:00:00" maxDate="2025-06-28T00:00:00"/>
    </cacheField>
    <cacheField name="Date TimeSheet" numFmtId="0">
      <sharedItems containsNonDate="0" containsDate="1" containsString="0" containsBlank="1" minDate="2025-06-09T00:00:00" maxDate="2025-07-03T00:00:00"/>
    </cacheField>
    <cacheField name="CCID" numFmtId="0">
      <sharedItems containsBlank="1"/>
    </cacheField>
    <cacheField name="Year" numFmtId="0">
      <sharedItems containsString="0" containsBlank="1" containsNumber="1" containsInteger="1" minValue="2025" maxValue="2025"/>
    </cacheField>
    <cacheField name="Month" numFmtId="0">
      <sharedItems containsString="0" containsBlank="1" containsNumber="1" containsInteger="1" minValue="6" maxValue="6"/>
    </cacheField>
    <cacheField name="Day" numFmtId="0">
      <sharedItems containsString="0" containsBlank="1" containsNumber="1" containsInteger="1" minValue="2" maxValue="27"/>
    </cacheField>
    <cacheField name="Week" numFmtId="0">
      <sharedItems containsString="0" containsBlank="1" containsNumber="1" containsInteger="1" minValue="23" maxValue="26"/>
    </cacheField>
    <cacheField name="Time Actual" numFmtId="0">
      <sharedItems containsString="0" containsBlank="1" containsNumber="1" containsInteger="1" minValue="1" maxValue="5"/>
    </cacheField>
    <cacheField name="Company" numFmtId="0">
      <sharedItems containsBlank="1" count="36">
        <s v="Sietech"/>
        <m/>
        <s v="DMS" u="1"/>
        <s v="Diando" u="1"/>
        <s v="TFA" u="1"/>
        <s v="PHL" u="1"/>
        <s v="RUAH" u="1"/>
        <s v="CYP" u="1"/>
        <s v="AGOB" u="1"/>
        <s v="GMB SERVICOS INFORMATICA" u="1"/>
        <s v="CZ" u="1"/>
        <s v="Ceta" u="1"/>
        <s v="Domain Informatica" u="1"/>
        <s v="Web Working" u="1"/>
        <s v="Bruno Bonadio Lopez" u="1"/>
        <s v="BCantap" u="1"/>
        <s v="NEO" u="1"/>
        <s v="LAAM" u="1"/>
        <s v="LF Solucoes TI" u="1"/>
        <s v="WTK" u="1"/>
        <s v="LC" u="1"/>
        <s v="Castrofrade TP" u="1"/>
        <s v="Digicomex" u="1"/>
        <s v="Bright Eleven" u="1"/>
        <s v="PamelaPC" u="1"/>
        <s v="Vockan" u="1"/>
        <s v="ISL" u="1"/>
        <s v="High Business" u="1"/>
        <s v="DR Tecnologia" u="1"/>
        <s v="Andrade Code" u="1"/>
        <s v="Guilherme Loss Cons Tec Ltda" u="1"/>
        <s v="NHvala" u="1"/>
        <s v="SGJ" u="1"/>
        <s v="LGATTI" u="1"/>
        <s v="VRS" u="1"/>
        <s v="KMRC" u="1"/>
      </sharedItems>
    </cacheField>
    <cacheField name="Resource Name" numFmtId="0">
      <sharedItems containsBlank="1" count="51">
        <s v="Nelson Simoes"/>
        <m/>
        <s v="Reginaldo Almeida-vk" u="1"/>
        <s v="Benedito Souza-vk" u="1"/>
        <s v="Fabio Costa-vk" u="1"/>
        <s v="Higo Scheunemann-vk" u="1"/>
        <s v="Leandro Senna-vk" u="1"/>
        <s v="Thiago Queiros-vk" u="1"/>
        <s v="Carlos Pitondo-vk" u="1"/>
        <s v="Ana Bispo" u="1"/>
        <s v="Eduardo Provenzano-vk" u="1"/>
        <s v="Andre Parpinelli-vk" u="1"/>
        <s v="Gabriel Brigo-vk" u="1"/>
        <s v="Renato Louzada-vk" u="1"/>
        <s v="Ederson Alexandre-vk" u="1"/>
        <s v="Eduardo Moreno-vk" u="1"/>
        <s v="Geraldo Silva-vk" u="1"/>
        <s v="Marcia Silva-vk" u="1"/>
        <s v="Leonardo Parrillo-vk" u="1"/>
        <s v="Jefte Villar-vk" u="1"/>
        <s v="Giovana Rodrigues" u="1"/>
        <s v="Bruno Bonadio" u="1"/>
        <s v="Marcos Xavier" u="1"/>
        <s v="Persio Cantarin" u="1"/>
        <s v="Allan Oliveira" u="1"/>
        <s v="Edson Risso-vk" u="1"/>
        <s v="Walter Braz-vk" u="1"/>
        <s v="Diogo Aguiar-vk" u="1"/>
        <s v="Luiz Alfredo-vk" u="1"/>
        <s v="Leandro Francischinelli" u="1"/>
        <s v="Pedro Silva-vk" u="1"/>
        <s v="Walter Augusto-vk" u="1"/>
        <s v="Luciana Cavalcante-vk" u="1"/>
        <s v="Marcelo Frade" u="1"/>
        <s v="Marcelo Cunha-vk" u="1"/>
        <s v="Digicomex Consultant" u="1"/>
        <s v="Clovis Silva-vk" u="1"/>
        <s v="Pamela Pallazi" u="1"/>
        <s v="Vinicius Knipers-vk" u="1"/>
        <s v="Ismael Lopes-vk" u="1"/>
        <s v="Miguel Castaneda-vk" u="1"/>
        <s v="Sildemar Sousa-vk" u="1"/>
        <s v="Daniel Amaral-vk" u="1"/>
        <s v="Ismael Andrade" u="1"/>
        <s v="Guilherme Loss" u="1"/>
        <s v="Nayara Hvala" u="1"/>
        <s v="Sergio Gabriel" u="1"/>
        <s v="Tiago Semidei" u="1"/>
        <s v="Lincoln Gatti" u="1"/>
        <s v="Vanessa Ramalho" u="1"/>
        <s v="Kauane Rocha-vk" u="1"/>
      </sharedItems>
    </cacheField>
    <cacheField name="Role" numFmtId="0">
      <sharedItems containsBlank="1"/>
    </cacheField>
    <cacheField name="Comments" numFmtId="0">
      <sharedItems containsBlank="1"/>
    </cacheField>
    <cacheField name="CostRate" numFmtId="0">
      <sharedItems containsString="0" containsBlank="1" containsNumber="1" minValue="99.83" maxValue="157"/>
    </cacheField>
    <cacheField name="CostRate w/ Taxes" numFmtId="0">
      <sharedItems containsString="0" containsBlank="1" containsNumber="1" minValue="0" maxValue="59306.975206611576" count="59">
        <n v="173.00275482093664"/>
        <n v="110"/>
        <m/>
        <n v="182.99724517906336" u="1"/>
        <n v="114.99724517906337" u="1"/>
        <n v="107.85674931129476" u="1"/>
        <n v="140" u="1"/>
        <n v="260.39669421487605" u="1"/>
        <n v="14500" u="1"/>
        <n v="178.99724517906336" u="1"/>
        <n v="381.95041322314052" u="1"/>
        <n v="105.67493112947659" u="1"/>
        <n v="369.88429752066116" u="1"/>
        <n v="120.00000000000001" u="1"/>
        <n v="165.00275482093664" u="1"/>
        <n v="236" u="1"/>
        <n v="126.99724517906337" u="1"/>
        <n v="154.99724517906336" u="1"/>
        <n v="172" u="1"/>
        <n v="39.49311294765841" u="1"/>
        <n v="93.752066115702476" u="1"/>
        <n v="121.00000000000001" u="1"/>
        <n v="139" u="1"/>
        <n v="138" u="1"/>
        <n v="149.00275482093664" u="1"/>
        <n v="160" u="1"/>
        <n v="93.002754820936644" u="1"/>
        <n v="124" u="1"/>
        <n v="71.426997245179052" u="1"/>
        <n v="225" u="1"/>
        <n v="157" u="1"/>
        <n v="205.00275482093664" u="1"/>
        <n v="222" u="1"/>
        <n v="145.00055096418731" u="1"/>
        <n v="190" u="1"/>
        <n v="59306.975206611576" u="1"/>
        <n v="127.84573002754821" u="1"/>
        <n v="112.1542699724518" u="1"/>
        <n v="109.78512396694215" u="1"/>
        <n v="192.00000000000003" u="1"/>
        <n v="170" u="1"/>
        <n v="65.002754820936644" u="1"/>
        <n v="109.09090909090909" u="1"/>
        <n v="202" u="1"/>
        <n v="63.382920110192842" u="1"/>
        <n v="1080" u="1"/>
        <n v="61.663911845730027" u="1"/>
        <n v="104" u="1"/>
        <n v="134" u="1"/>
        <n v="274.99724517906338" u="1"/>
        <n v="96.495867768595033" u="1"/>
        <n v="126.57851239669422" u="1"/>
        <n v="0" u="1"/>
        <n v="50.776859504132233" u="1"/>
        <n v="134.99724517906338" u="1"/>
        <n v="32.143250688705237" u="1"/>
        <n v="150" u="1"/>
        <n v="44.44077134986226" u="1"/>
        <n v="3000" u="1"/>
      </sharedItems>
    </cacheField>
    <cacheField name="Total Cost" numFmtId="0">
      <sharedItems containsString="0" containsBlank="1" containsNumber="1" minValue="110" maxValue="692.01101928374658"/>
    </cacheField>
    <cacheField name="Customer Name" numFmtId="0">
      <sharedItems containsBlank="1"/>
    </cacheField>
    <cacheField name="Project Type" numFmtId="0">
      <sharedItems containsBlank="1" count="4">
        <s v="FF"/>
        <s v="T&amp;M"/>
        <s v="NB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1">
  <r>
    <x v="0"/>
    <d v="2025-06-24T00:00:00"/>
    <d v="2025-07-02T00:00:00"/>
    <s v="SOW"/>
    <n v="2025"/>
    <n v="6"/>
    <n v="24"/>
    <n v="26"/>
    <n v="1"/>
    <x v="0"/>
    <x v="0"/>
    <s v="Project Manager"/>
    <s v="Tratamento de demanda BPO com Gabriel"/>
    <n v="157"/>
    <x v="0"/>
    <n v="173.00275482093664"/>
    <s v="AMVAC do Brasil Representacoes"/>
    <x v="0"/>
  </r>
  <r>
    <x v="1"/>
    <d v="2025-06-03T00:00:00"/>
    <d v="2025-06-09T00:00:00"/>
    <s v="SOW"/>
    <n v="2025"/>
    <n v="6"/>
    <n v="3"/>
    <n v="23"/>
    <n v="1"/>
    <x v="0"/>
    <x v="0"/>
    <s v="Project Manager"/>
    <s v="Alinhamento fase 2 mudança de vw246 Pinhal"/>
    <n v="157"/>
    <x v="0"/>
    <n v="173.00275482093664"/>
    <s v="APTIV Man e Serv de Distr. Ltda"/>
    <x v="0"/>
  </r>
  <r>
    <x v="1"/>
    <d v="2025-06-04T00:00:00"/>
    <d v="2025-06-09T00:00:00"/>
    <s v="SOW"/>
    <n v="2025"/>
    <n v="6"/>
    <n v="4"/>
    <n v="23"/>
    <n v="4"/>
    <x v="0"/>
    <x v="0"/>
    <s v="Project Manager"/>
    <s v="Acompanhamento de backlog e alinhamento com funcionais"/>
    <n v="157"/>
    <x v="0"/>
    <n v="692.01101928374658"/>
    <s v="APTIV Man e Serv de Distr. Ltda"/>
    <x v="0"/>
  </r>
  <r>
    <x v="1"/>
    <d v="2025-06-06T00:00:00"/>
    <d v="2025-06-09T00:00:00"/>
    <s v="SOW"/>
    <n v="2025"/>
    <n v="6"/>
    <n v="6"/>
    <n v="23"/>
    <n v="1"/>
    <x v="0"/>
    <x v="0"/>
    <s v="Project Manager"/>
    <s v="Reunião com funcionais Aptiv"/>
    <n v="157"/>
    <x v="0"/>
    <n v="173.00275482093664"/>
    <s v="APTIV Man e Serv de Distr. Ltda"/>
    <x v="0"/>
  </r>
  <r>
    <x v="1"/>
    <d v="2025-06-11T00:00:00"/>
    <d v="2025-06-17T00:00:00"/>
    <s v="SOW"/>
    <n v="2025"/>
    <n v="6"/>
    <n v="11"/>
    <n v="24"/>
    <n v="2"/>
    <x v="0"/>
    <x v="0"/>
    <s v="Project Manager"/>
    <s v="Tratamento de backlog e reunião semanal"/>
    <n v="157"/>
    <x v="0"/>
    <n v="346.00550964187329"/>
    <s v="APTIV Man e Serv de Distr. Ltda"/>
    <x v="0"/>
  </r>
  <r>
    <x v="1"/>
    <d v="2025-06-13T00:00:00"/>
    <d v="2025-06-17T00:00:00"/>
    <s v="SOW"/>
    <n v="2025"/>
    <n v="6"/>
    <n v="13"/>
    <n v="24"/>
    <n v="1"/>
    <x v="0"/>
    <x v="0"/>
    <s v="Project Manager"/>
    <s v="Reunião com time Aptiv"/>
    <n v="157"/>
    <x v="0"/>
    <n v="173.00275482093664"/>
    <s v="APTIV Man e Serv de Distr. Ltda"/>
    <x v="0"/>
  </r>
  <r>
    <x v="1"/>
    <d v="2025-06-18T00:00:00"/>
    <d v="2025-06-23T00:00:00"/>
    <s v="SOW"/>
    <n v="2025"/>
    <n v="6"/>
    <n v="18"/>
    <n v="25"/>
    <n v="2"/>
    <x v="0"/>
    <x v="0"/>
    <s v="Project Manager"/>
    <s v="Backlog Aptiv"/>
    <n v="157"/>
    <x v="0"/>
    <n v="346.00550964187329"/>
    <s v="APTIV Man e Serv de Distr. Ltda"/>
    <x v="0"/>
  </r>
  <r>
    <x v="1"/>
    <d v="2025-06-20T00:00:00"/>
    <d v="2025-06-23T00:00:00"/>
    <s v="SOW"/>
    <n v="2025"/>
    <n v="6"/>
    <n v="20"/>
    <n v="25"/>
    <n v="2"/>
    <x v="0"/>
    <x v="0"/>
    <s v="Project Manager"/>
    <s v="Reunião semanal com Funcionais Aptiv, tratamento de demanda do MRP com Hilmar"/>
    <n v="157"/>
    <x v="0"/>
    <n v="346.00550964187329"/>
    <s v="APTIV Man e Serv de Distr. Ltda"/>
    <x v="0"/>
  </r>
  <r>
    <x v="1"/>
    <d v="2025-06-25T00:00:00"/>
    <d v="2025-07-02T00:00:00"/>
    <s v="SOW"/>
    <n v="2025"/>
    <n v="6"/>
    <n v="25"/>
    <n v="26"/>
    <n v="3"/>
    <x v="0"/>
    <x v="0"/>
    <s v="Project Manager"/>
    <s v="Tratamento de Backlog, reunião com Cestari"/>
    <n v="157"/>
    <x v="0"/>
    <n v="519.00826446280996"/>
    <s v="APTIV Man e Serv de Distr. Ltda"/>
    <x v="0"/>
  </r>
  <r>
    <x v="1"/>
    <d v="2025-06-27T00:00:00"/>
    <d v="2025-07-02T00:00:00"/>
    <s v="SOW"/>
    <n v="2025"/>
    <n v="6"/>
    <n v="27"/>
    <n v="26"/>
    <n v="1"/>
    <x v="0"/>
    <x v="0"/>
    <s v="Project Manager"/>
    <s v="Alinhamento com funcionais Aptiv"/>
    <n v="157"/>
    <x v="0"/>
    <n v="173.00275482093664"/>
    <s v="APTIV Man e Serv de Distr. Ltda"/>
    <x v="0"/>
  </r>
  <r>
    <x v="2"/>
    <d v="2025-06-25T00:00:00"/>
    <d v="2025-07-01T00:00:00"/>
    <s v="SOW"/>
    <n v="2025"/>
    <n v="6"/>
    <n v="25"/>
    <n v="26"/>
    <n v="1"/>
    <x v="0"/>
    <x v="0"/>
    <s v="Project Manager"/>
    <s v="Alinhamento semanal e interno sobre demandas iniciais Clarios"/>
    <n v="157"/>
    <x v="0"/>
    <n v="173.00275482093664"/>
    <s v="Clarios Energy Solutions Brasil"/>
    <x v="0"/>
  </r>
  <r>
    <x v="3"/>
    <d v="2025-06-04T00:00:00"/>
    <d v="2025-06-09T00:00:00"/>
    <s v="SOW"/>
    <n v="2025"/>
    <n v="6"/>
    <n v="4"/>
    <n v="23"/>
    <n v="1"/>
    <x v="0"/>
    <x v="0"/>
    <s v="Project Manager"/>
    <s v="Planejamento de atividades do Parrillo"/>
    <n v="157"/>
    <x v="0"/>
    <n v="173.00275482093664"/>
    <s v="Freudenberg Nok Comp Br Ltd"/>
    <x v="1"/>
  </r>
  <r>
    <x v="4"/>
    <d v="2025-06-04T00:00:00"/>
    <d v="2025-06-09T00:00:00"/>
    <s v="SOW"/>
    <n v="2025"/>
    <n v="6"/>
    <n v="4"/>
    <n v="23"/>
    <n v="1"/>
    <x v="0"/>
    <x v="0"/>
    <s v="Project Manager"/>
    <s v="Alinhamento de demandas na sprint, planejamento"/>
    <n v="157"/>
    <x v="0"/>
    <n v="173.00275482093664"/>
    <s v="OXBO DO BRASIL EQUIPAMENTOS"/>
    <x v="0"/>
  </r>
  <r>
    <x v="4"/>
    <d v="2025-06-11T00:00:00"/>
    <d v="2025-06-17T00:00:00"/>
    <s v="SOW"/>
    <n v="2025"/>
    <n v="6"/>
    <n v="11"/>
    <n v="24"/>
    <n v="1"/>
    <x v="0"/>
    <x v="0"/>
    <s v="Project Manager"/>
    <s v="Alinhamento de demandas da semana"/>
    <n v="157"/>
    <x v="0"/>
    <n v="173.00275482093664"/>
    <s v="OXBO DO BRASIL EQUIPAMENTOS"/>
    <x v="0"/>
  </r>
  <r>
    <x v="4"/>
    <d v="2025-06-17T00:00:00"/>
    <d v="2025-06-23T00:00:00"/>
    <s v="SOW"/>
    <n v="2025"/>
    <n v="6"/>
    <n v="17"/>
    <n v="25"/>
    <n v="1"/>
    <x v="0"/>
    <x v="0"/>
    <s v="Project Manager"/>
    <s v="Fechamento de demandas conduzidas pela Marcia e Gabriel na sprint"/>
    <n v="157"/>
    <x v="0"/>
    <n v="173.00275482093664"/>
    <s v="OXBO DO BRASIL EQUIPAMENTOS"/>
    <x v="0"/>
  </r>
  <r>
    <x v="4"/>
    <d v="2025-06-23T00:00:00"/>
    <d v="2025-07-01T00:00:00"/>
    <s v="SOW"/>
    <n v="2025"/>
    <n v="6"/>
    <n v="23"/>
    <n v="26"/>
    <n v="1"/>
    <x v="0"/>
    <x v="0"/>
    <s v="Project Manager"/>
    <s v="Tratamento de demandas em sprint"/>
    <n v="157"/>
    <x v="0"/>
    <n v="173.00275482093664"/>
    <s v="OXBO DO BRASIL EQUIPAMENTOS"/>
    <x v="0"/>
  </r>
  <r>
    <x v="5"/>
    <d v="2025-06-03T00:00:00"/>
    <d v="2025-06-09T00:00:00"/>
    <s v="SOW"/>
    <n v="2025"/>
    <n v="6"/>
    <n v="3"/>
    <n v="23"/>
    <n v="1"/>
    <x v="0"/>
    <x v="0"/>
    <s v="Project Manager"/>
    <s v="Webnar trabalho remoto"/>
    <n v="99.83"/>
    <x v="1"/>
    <n v="110"/>
    <s v="Vockan Consulting Ltda"/>
    <x v="2"/>
  </r>
  <r>
    <x v="5"/>
    <d v="2025-06-10T00:00:00"/>
    <d v="2025-06-17T00:00:00"/>
    <s v="SOW"/>
    <n v="2025"/>
    <n v="6"/>
    <n v="10"/>
    <n v="24"/>
    <n v="1"/>
    <x v="0"/>
    <x v="0"/>
    <s v="Project Manager"/>
    <s v="Acompanhamento de gestão de riscos com Daniel, e update de projetos de BPO"/>
    <n v="99.83"/>
    <x v="1"/>
    <n v="110"/>
    <s v="Vockan Consulting Ltda"/>
    <x v="2"/>
  </r>
  <r>
    <x v="5"/>
    <d v="2025-06-11T00:00:00"/>
    <d v="2025-06-17T00:00:00"/>
    <s v="SOW"/>
    <n v="2025"/>
    <n v="6"/>
    <n v="11"/>
    <n v="24"/>
    <n v="1"/>
    <x v="0"/>
    <x v="0"/>
    <s v="Project Manager"/>
    <s v="PMO Executive Status Review"/>
    <n v="99.83"/>
    <x v="1"/>
    <n v="110"/>
    <s v="Vockan Consulting Ltda"/>
    <x v="2"/>
  </r>
  <r>
    <x v="6"/>
    <d v="2025-06-02T00:00:00"/>
    <d v="2025-06-09T00:00:00"/>
    <s v="SOW"/>
    <n v="2025"/>
    <n v="6"/>
    <n v="2"/>
    <n v="23"/>
    <n v="3"/>
    <x v="0"/>
    <x v="0"/>
    <s v="Project Manager"/>
    <s v="alinhamento com Fabio e Guilherme"/>
    <n v="99.83"/>
    <x v="1"/>
    <n v="330"/>
    <s v="Vockan Consulting Ltda"/>
    <x v="2"/>
  </r>
  <r>
    <x v="6"/>
    <d v="2025-06-03T00:00:00"/>
    <d v="2025-06-09T00:00:00"/>
    <s v="SOW"/>
    <n v="2025"/>
    <n v="6"/>
    <n v="3"/>
    <n v="23"/>
    <n v="2"/>
    <x v="0"/>
    <x v="0"/>
    <s v="Project Manager"/>
    <s v="1:1 Fabio, alinhamento com funcionais"/>
    <n v="99.83"/>
    <x v="1"/>
    <n v="220"/>
    <s v="Vockan Consulting Ltda"/>
    <x v="2"/>
  </r>
  <r>
    <x v="6"/>
    <d v="2025-06-05T00:00:00"/>
    <d v="2025-06-09T00:00:00"/>
    <s v="SOW"/>
    <n v="2025"/>
    <n v="6"/>
    <n v="5"/>
    <n v="23"/>
    <n v="2"/>
    <x v="0"/>
    <x v="0"/>
    <s v="Project Manager"/>
    <s v="Alinhamento Fabio"/>
    <n v="99.83"/>
    <x v="1"/>
    <n v="220"/>
    <s v="Vockan Consulting Ltda"/>
    <x v="2"/>
  </r>
  <r>
    <x v="6"/>
    <d v="2025-06-06T00:00:00"/>
    <d v="2025-06-09T00:00:00"/>
    <s v="SOW"/>
    <n v="2025"/>
    <n v="6"/>
    <n v="6"/>
    <n v="23"/>
    <n v="4"/>
    <x v="0"/>
    <x v="0"/>
    <s v="Project Manager"/>
    <s v="Alinhamento com Fabio, reunião com Exchange para playbook de bpo, revisão de tarefas com CSP, tratamento de backlog"/>
    <n v="99.83"/>
    <x v="1"/>
    <n v="440"/>
    <s v="Vockan Consulting Ltda"/>
    <x v="2"/>
  </r>
  <r>
    <x v="6"/>
    <d v="2025-06-09T00:00:00"/>
    <d v="2025-06-16T00:00:00"/>
    <s v="SOW"/>
    <n v="2025"/>
    <n v="6"/>
    <n v="9"/>
    <n v="24"/>
    <n v="2"/>
    <x v="0"/>
    <x v="0"/>
    <s v="Project Manager"/>
    <s v="Alinhamento com Daniel e Guilherme, reunião com Fábio"/>
    <n v="99.83"/>
    <x v="1"/>
    <n v="220"/>
    <s v="Vockan Consulting Ltda"/>
    <x v="2"/>
  </r>
  <r>
    <x v="6"/>
    <d v="2025-06-10T00:00:00"/>
    <d v="2025-06-17T00:00:00"/>
    <s v="SOW"/>
    <n v="2025"/>
    <n v="6"/>
    <n v="10"/>
    <n v="24"/>
    <n v="2"/>
    <x v="0"/>
    <x v="0"/>
    <s v="Project Manager"/>
    <s v="Reunião semanal com Fabio e alinhamento sobre riscos"/>
    <n v="99.83"/>
    <x v="1"/>
    <n v="220"/>
    <s v="Vockan Consulting Ltda"/>
    <x v="2"/>
  </r>
  <r>
    <x v="6"/>
    <d v="2025-06-12T00:00:00"/>
    <d v="2025-06-17T00:00:00"/>
    <s v="SOW"/>
    <n v="2025"/>
    <n v="6"/>
    <n v="12"/>
    <n v="24"/>
    <n v="2"/>
    <x v="0"/>
    <x v="0"/>
    <s v="Project Manager"/>
    <s v="Entrevista com consultor BPO, Elton, alinhamento com Fabio"/>
    <n v="99.83"/>
    <x v="1"/>
    <n v="220"/>
    <s v="Vockan Consulting Ltda"/>
    <x v="2"/>
  </r>
  <r>
    <x v="6"/>
    <d v="2025-06-13T00:00:00"/>
    <d v="2025-06-17T00:00:00"/>
    <s v="SOW"/>
    <n v="2025"/>
    <n v="6"/>
    <n v="13"/>
    <n v="24"/>
    <n v="3"/>
    <x v="0"/>
    <x v="0"/>
    <s v="Project Manager"/>
    <s v="Reunião com Fabio, acompanhamento de funcionais"/>
    <n v="99.83"/>
    <x v="1"/>
    <n v="330"/>
    <s v="Vockan Consulting Ltda"/>
    <x v="2"/>
  </r>
  <r>
    <x v="6"/>
    <d v="2025-06-16T00:00:00"/>
    <d v="2025-06-23T00:00:00"/>
    <s v="SOW"/>
    <n v="2025"/>
    <n v="6"/>
    <n v="16"/>
    <n v="25"/>
    <n v="2"/>
    <x v="0"/>
    <x v="0"/>
    <s v="Project Manager"/>
    <s v="Alinhamento com Fabio, tratamento de demandas com funcionais"/>
    <n v="99.83"/>
    <x v="1"/>
    <n v="220"/>
    <s v="Vockan Consulting Ltda"/>
    <x v="2"/>
  </r>
  <r>
    <x v="6"/>
    <d v="2025-06-17T00:00:00"/>
    <d v="2025-06-23T00:00:00"/>
    <s v="SOW"/>
    <n v="2025"/>
    <n v="6"/>
    <n v="17"/>
    <n v="25"/>
    <n v="3"/>
    <x v="0"/>
    <x v="0"/>
    <s v="Project Manager"/>
    <s v="Reunião 1:1 Fabio, reunião com Clarios sobre prioridades"/>
    <n v="99.83"/>
    <x v="1"/>
    <n v="330"/>
    <s v="Vockan Consulting Ltda"/>
    <x v="2"/>
  </r>
  <r>
    <x v="6"/>
    <d v="2025-06-20T00:00:00"/>
    <d v="2025-06-23T00:00:00"/>
    <s v="SOW"/>
    <n v="2025"/>
    <n v="6"/>
    <n v="20"/>
    <n v="25"/>
    <n v="2"/>
    <x v="0"/>
    <x v="0"/>
    <s v="Project Manager"/>
    <s v="Revisão de documentação - Guia BPO, tratamento de backlog no JSM para Lifetc e Aptiv"/>
    <n v="99.83"/>
    <x v="1"/>
    <n v="220"/>
    <s v="Vockan Consulting Ltda"/>
    <x v="2"/>
  </r>
  <r>
    <x v="6"/>
    <d v="2025-06-23T00:00:00"/>
    <d v="2025-07-01T00:00:00"/>
    <s v="SOW"/>
    <n v="2025"/>
    <n v="6"/>
    <n v="23"/>
    <n v="26"/>
    <n v="3"/>
    <x v="0"/>
    <x v="0"/>
    <s v="Project Manager"/>
    <s v="Alinhamento com Fabio, PMO, comite executivo, alinhamento de bpo com Guilherme e Daniel"/>
    <n v="99.83"/>
    <x v="1"/>
    <n v="330"/>
    <s v="Vockan Consulting Ltda"/>
    <x v="2"/>
  </r>
  <r>
    <x v="6"/>
    <d v="2025-06-24T00:00:00"/>
    <d v="2025-07-02T00:00:00"/>
    <s v="SOW"/>
    <n v="2025"/>
    <n v="6"/>
    <n v="24"/>
    <n v="26"/>
    <n v="2"/>
    <x v="0"/>
    <x v="0"/>
    <s v="Project Manager"/>
    <s v="1:1 Fabio, alinhamento com equipe de BPO Operacional"/>
    <n v="99.83"/>
    <x v="1"/>
    <n v="220"/>
    <s v="Vockan Consulting Ltda"/>
    <x v="2"/>
  </r>
  <r>
    <x v="6"/>
    <d v="2025-06-25T00:00:00"/>
    <d v="2025-07-02T00:00:00"/>
    <s v="SOW"/>
    <n v="2025"/>
    <n v="6"/>
    <n v="25"/>
    <n v="26"/>
    <n v="2"/>
    <x v="0"/>
    <x v="0"/>
    <s v="Project Manager"/>
    <s v="Alinhamento com Koga sobre BI, alinhamento com Fabio"/>
    <n v="99.83"/>
    <x v="1"/>
    <n v="220"/>
    <s v="Vockan Consulting Ltda"/>
    <x v="2"/>
  </r>
  <r>
    <x v="6"/>
    <d v="2025-06-26T00:00:00"/>
    <d v="2025-07-02T00:00:00"/>
    <s v="SOW"/>
    <n v="2025"/>
    <n v="6"/>
    <n v="26"/>
    <n v="26"/>
    <n v="2"/>
    <x v="0"/>
    <x v="0"/>
    <s v="Project Manager"/>
    <s v="Reunião como Fabio, reunião com Guilherme"/>
    <n v="99.83"/>
    <x v="1"/>
    <n v="220"/>
    <s v="Vockan Consulting Ltda"/>
    <x v="2"/>
  </r>
  <r>
    <x v="6"/>
    <d v="2025-06-27T00:00:00"/>
    <d v="2025-07-02T00:00:00"/>
    <s v="SOW"/>
    <n v="2025"/>
    <n v="6"/>
    <n v="27"/>
    <n v="26"/>
    <n v="1"/>
    <x v="0"/>
    <x v="0"/>
    <s v="Project Manager"/>
    <s v="Alinhamento com Fabio"/>
    <n v="99.83"/>
    <x v="1"/>
    <n v="110"/>
    <s v="Vockan Consulting Ltda"/>
    <x v="2"/>
  </r>
  <r>
    <x v="7"/>
    <d v="2025-06-05T00:00:00"/>
    <d v="2025-06-09T00:00:00"/>
    <s v="SOW"/>
    <n v="2025"/>
    <n v="6"/>
    <n v="5"/>
    <n v="23"/>
    <n v="2"/>
    <x v="0"/>
    <x v="0"/>
    <s v="Project Manager"/>
    <s v="atualização de propostas"/>
    <n v="99.83"/>
    <x v="1"/>
    <n v="220"/>
    <s v="Vockan Consulting Ltda"/>
    <x v="2"/>
  </r>
  <r>
    <x v="7"/>
    <d v="2025-06-09T00:00:00"/>
    <d v="2025-06-16T00:00:00"/>
    <s v="SOW"/>
    <n v="2025"/>
    <n v="6"/>
    <n v="9"/>
    <n v="24"/>
    <n v="2"/>
    <x v="0"/>
    <x v="0"/>
    <s v="Project Manager"/>
    <s v="Reunião Adium e levantamento de patches"/>
    <n v="99.83"/>
    <x v="1"/>
    <n v="220"/>
    <s v="Vockan Consulting Ltda"/>
    <x v="2"/>
  </r>
  <r>
    <x v="7"/>
    <d v="2025-06-11T00:00:00"/>
    <d v="2025-06-17T00:00:00"/>
    <s v="SOW"/>
    <n v="2025"/>
    <n v="6"/>
    <n v="11"/>
    <n v="24"/>
    <n v="1"/>
    <x v="0"/>
    <x v="0"/>
    <s v="Project Manager"/>
    <s v="Fup Bitrix BPO"/>
    <n v="99.83"/>
    <x v="1"/>
    <n v="110"/>
    <s v="Vockan Consulting Ltda"/>
    <x v="2"/>
  </r>
  <r>
    <x v="7"/>
    <d v="2025-06-12T00:00:00"/>
    <d v="2025-06-17T00:00:00"/>
    <s v="SOW"/>
    <n v="2025"/>
    <n v="6"/>
    <n v="12"/>
    <n v="24"/>
    <n v="2"/>
    <x v="0"/>
    <x v="0"/>
    <s v="Project Manager"/>
    <s v="Reunião de alinhamento Clarios, reunião com Zeiss"/>
    <n v="99.83"/>
    <x v="1"/>
    <n v="220"/>
    <s v="Vockan Consulting Ltda"/>
    <x v="2"/>
  </r>
  <r>
    <x v="7"/>
    <d v="2025-06-13T00:00:00"/>
    <d v="2025-06-17T00:00:00"/>
    <s v="SOW"/>
    <n v="2025"/>
    <n v="6"/>
    <n v="13"/>
    <n v="24"/>
    <n v="2"/>
    <x v="0"/>
    <x v="0"/>
    <s v="Project Manager"/>
    <s v="Acompanhamento de propostas, alinhamento com comercial"/>
    <n v="99.83"/>
    <x v="1"/>
    <n v="220"/>
    <s v="Vockan Consulting Ltda"/>
    <x v="2"/>
  </r>
  <r>
    <x v="7"/>
    <d v="2025-06-16T00:00:00"/>
    <d v="2025-06-23T00:00:00"/>
    <s v="SOW"/>
    <n v="2025"/>
    <n v="6"/>
    <n v="16"/>
    <n v="25"/>
    <n v="2"/>
    <x v="0"/>
    <x v="0"/>
    <s v="Project Manager"/>
    <s v="Reunião com Guilherme sobre leads de agilista, definição de planilha de acompanhamento."/>
    <n v="99.83"/>
    <x v="1"/>
    <n v="220"/>
    <s v="Vockan Consulting Ltda"/>
    <x v="2"/>
  </r>
  <r>
    <x v="7"/>
    <d v="2025-06-17T00:00:00"/>
    <d v="2025-06-23T00:00:00"/>
    <s v="SOW"/>
    <n v="2025"/>
    <n v="6"/>
    <n v="17"/>
    <n v="25"/>
    <n v="2"/>
    <x v="0"/>
    <x v="0"/>
    <s v="Project Manager"/>
    <s v="Discovery Nexteer"/>
    <n v="99.83"/>
    <x v="1"/>
    <n v="220"/>
    <s v="Vockan Consulting Ltda"/>
    <x v="2"/>
  </r>
  <r>
    <x v="7"/>
    <d v="2025-06-18T00:00:00"/>
    <d v="2025-06-23T00:00:00"/>
    <s v="SOW"/>
    <n v="2025"/>
    <n v="6"/>
    <n v="18"/>
    <n v="25"/>
    <n v="1"/>
    <x v="0"/>
    <x v="0"/>
    <s v="Project Manager"/>
    <s v="Tratamento de funil no Bitrix"/>
    <n v="99.83"/>
    <x v="1"/>
    <n v="110"/>
    <s v="Vockan Consulting Ltda"/>
    <x v="2"/>
  </r>
  <r>
    <x v="7"/>
    <d v="2025-06-24T00:00:00"/>
    <d v="2025-07-02T00:00:00"/>
    <s v="SOW"/>
    <n v="2025"/>
    <n v="6"/>
    <n v="24"/>
    <n v="26"/>
    <n v="2"/>
    <x v="0"/>
    <x v="0"/>
    <s v="Project Manager"/>
    <s v="Atualização de propostas"/>
    <n v="99.83"/>
    <x v="1"/>
    <n v="220"/>
    <s v="Vockan Consulting Ltda"/>
    <x v="2"/>
  </r>
  <r>
    <x v="7"/>
    <d v="2025-06-25T00:00:00"/>
    <d v="2025-07-02T00:00:00"/>
    <s v="SOW"/>
    <n v="2025"/>
    <n v="6"/>
    <n v="25"/>
    <n v="26"/>
    <n v="2"/>
    <x v="0"/>
    <x v="0"/>
    <s v="Project Manager"/>
    <s v="Apresentação e material para BPO Nexteer"/>
    <n v="99.83"/>
    <x v="1"/>
    <n v="220"/>
    <s v="Vockan Consulting Ltda"/>
    <x v="2"/>
  </r>
  <r>
    <x v="7"/>
    <d v="2025-06-27T00:00:00"/>
    <d v="2025-07-02T00:00:00"/>
    <s v="SOW"/>
    <n v="2025"/>
    <n v="6"/>
    <n v="27"/>
    <n v="26"/>
    <n v="4"/>
    <x v="0"/>
    <x v="0"/>
    <s v="Project Manager"/>
    <s v="Preparação de material e reunião de discovery Agilista com Abengoa, alinhamento com Adium sobre reforma Tributária"/>
    <n v="99.83"/>
    <x v="1"/>
    <n v="440"/>
    <s v="Vockan Consulting Ltda"/>
    <x v="2"/>
  </r>
  <r>
    <x v="8"/>
    <d v="2025-06-03T00:00:00"/>
    <d v="2025-06-09T00:00:00"/>
    <s v="SOW"/>
    <n v="2025"/>
    <n v="6"/>
    <n v="3"/>
    <n v="23"/>
    <n v="2"/>
    <x v="0"/>
    <x v="0"/>
    <s v="Program Manager"/>
    <s v="Aptiv cloud"/>
    <n v="99.83"/>
    <x v="1"/>
    <n v="220"/>
    <s v="Vockan Consulting Ltda"/>
    <x v="2"/>
  </r>
  <r>
    <x v="8"/>
    <d v="2025-06-05T00:00:00"/>
    <d v="2025-06-09T00:00:00"/>
    <s v="SOW"/>
    <n v="2025"/>
    <n v="6"/>
    <n v="5"/>
    <n v="23"/>
    <n v="1"/>
    <x v="0"/>
    <x v="0"/>
    <s v="Program Manager"/>
    <s v="atualização de propostas"/>
    <n v="99.83"/>
    <x v="1"/>
    <n v="110"/>
    <s v="Vockan Consulting Ltda"/>
    <x v="2"/>
  </r>
  <r>
    <x v="8"/>
    <d v="2025-06-06T00:00:00"/>
    <d v="2025-06-09T00:00:00"/>
    <s v="SOW"/>
    <n v="2025"/>
    <n v="6"/>
    <n v="6"/>
    <n v="23"/>
    <n v="1"/>
    <x v="0"/>
    <x v="0"/>
    <s v="Program Manager"/>
    <s v="Fup Mauser e Clarios"/>
    <n v="99.83"/>
    <x v="1"/>
    <n v="110"/>
    <s v="Vockan Consulting Ltda"/>
    <x v="2"/>
  </r>
  <r>
    <x v="8"/>
    <d v="2025-06-09T00:00:00"/>
    <d v="2025-06-16T00:00:00"/>
    <s v="SOW"/>
    <n v="2025"/>
    <n v="6"/>
    <n v="9"/>
    <n v="24"/>
    <n v="2"/>
    <x v="0"/>
    <x v="0"/>
    <s v="Program Manager"/>
    <s v="Ajustes propostas Aptiv"/>
    <n v="99.83"/>
    <x v="1"/>
    <n v="220"/>
    <s v="Vockan Consulting Ltda"/>
    <x v="2"/>
  </r>
  <r>
    <x v="8"/>
    <d v="2025-06-10T00:00:00"/>
    <d v="2025-06-17T00:00:00"/>
    <s v="SOW"/>
    <n v="2025"/>
    <n v="6"/>
    <n v="10"/>
    <n v="24"/>
    <n v="2"/>
    <x v="0"/>
    <x v="0"/>
    <s v="Program Manager"/>
    <s v="Aptiv Cloud e Adium tech"/>
    <n v="99.83"/>
    <x v="1"/>
    <n v="220"/>
    <s v="Vockan Consulting Ltda"/>
    <x v="2"/>
  </r>
  <r>
    <x v="8"/>
    <d v="2025-06-11T00:00:00"/>
    <d v="2025-06-17T00:00:00"/>
    <s v="SOW"/>
    <n v="2025"/>
    <n v="6"/>
    <n v="11"/>
    <n v="24"/>
    <n v="2"/>
    <x v="0"/>
    <x v="0"/>
    <s v="Program Manager"/>
    <s v="FUP Bitrix e propostas"/>
    <n v="99.83"/>
    <x v="1"/>
    <n v="220"/>
    <s v="Vockan Consulting Ltda"/>
    <x v="2"/>
  </r>
  <r>
    <x v="8"/>
    <d v="2025-06-13T00:00:00"/>
    <d v="2025-06-17T00:00:00"/>
    <s v="SOW"/>
    <n v="2025"/>
    <n v="6"/>
    <n v="13"/>
    <n v="24"/>
    <n v="3"/>
    <x v="0"/>
    <x v="0"/>
    <s v="Program Manager"/>
    <s v="Reunião com André, checkpoint com Parpinelli sobre pocs e Tiago, Scrum"/>
    <n v="99.83"/>
    <x v="1"/>
    <n v="330"/>
    <s v="Vockan Consulting Ltda"/>
    <x v="2"/>
  </r>
  <r>
    <x v="8"/>
    <d v="2025-06-18T00:00:00"/>
    <d v="2025-06-23T00:00:00"/>
    <s v="SOW"/>
    <n v="2025"/>
    <n v="6"/>
    <n v="18"/>
    <n v="25"/>
    <n v="1"/>
    <x v="0"/>
    <x v="0"/>
    <s v="Program Manager"/>
    <s v="Reunião de acompanhamento semanal no Bitrix"/>
    <n v="99.83"/>
    <x v="1"/>
    <n v="110"/>
    <s v="Vockan Consulting Ltda"/>
    <x v="2"/>
  </r>
  <r>
    <x v="9"/>
    <d v="2025-06-02T00:00:00"/>
    <d v="2025-06-09T00:00:00"/>
    <s v="SOW"/>
    <n v="2025"/>
    <n v="6"/>
    <n v="2"/>
    <n v="23"/>
    <n v="5"/>
    <x v="0"/>
    <x v="0"/>
    <s v="Project Manager"/>
    <s v="PPT Poc services, scrum, alinhamento projetos"/>
    <n v="99.83"/>
    <x v="1"/>
    <n v="550"/>
    <s v="Vockan Consulting Ltda"/>
    <x v="2"/>
  </r>
  <r>
    <x v="9"/>
    <d v="2025-06-03T00:00:00"/>
    <d v="2025-06-09T00:00:00"/>
    <s v="SOW"/>
    <n v="2025"/>
    <n v="6"/>
    <n v="3"/>
    <n v="23"/>
    <n v="2"/>
    <x v="0"/>
    <x v="0"/>
    <s v="Project Manager"/>
    <s v="Fechamento Sprint"/>
    <n v="99.83"/>
    <x v="1"/>
    <n v="220"/>
    <s v="Vockan Consulting Ltda"/>
    <x v="2"/>
  </r>
  <r>
    <x v="9"/>
    <d v="2025-06-04T00:00:00"/>
    <d v="2025-06-09T00:00:00"/>
    <s v="SOW"/>
    <n v="2025"/>
    <n v="6"/>
    <n v="4"/>
    <n v="23"/>
    <n v="2"/>
    <x v="0"/>
    <x v="0"/>
    <s v="Project Manager"/>
    <s v="Planejamento de sprint"/>
    <n v="99.83"/>
    <x v="1"/>
    <n v="220"/>
    <s v="Vockan Consulting Ltda"/>
    <x v="2"/>
  </r>
  <r>
    <x v="9"/>
    <d v="2025-06-05T00:00:00"/>
    <d v="2025-06-09T00:00:00"/>
    <s v="SOW"/>
    <n v="2025"/>
    <n v="6"/>
    <n v="5"/>
    <n v="23"/>
    <n v="2"/>
    <x v="0"/>
    <x v="0"/>
    <s v="Project Manager"/>
    <s v="1:1 Gabriel, Scrum"/>
    <n v="99.83"/>
    <x v="1"/>
    <n v="220"/>
    <s v="Vockan Consulting Ltda"/>
    <x v="2"/>
  </r>
  <r>
    <x v="9"/>
    <d v="2025-06-06T00:00:00"/>
    <d v="2025-06-09T00:00:00"/>
    <s v="SOW"/>
    <n v="2025"/>
    <n v="6"/>
    <n v="6"/>
    <n v="23"/>
    <n v="2"/>
    <x v="0"/>
    <x v="0"/>
    <s v="Project Manager"/>
    <s v="Scrum, alinhamento TEC com Parpinelli"/>
    <n v="99.83"/>
    <x v="1"/>
    <n v="220"/>
    <s v="Vockan Consulting Ltda"/>
    <x v="2"/>
  </r>
  <r>
    <x v="9"/>
    <d v="2025-06-09T00:00:00"/>
    <d v="2025-06-16T00:00:00"/>
    <s v="SOW"/>
    <n v="2025"/>
    <n v="6"/>
    <n v="9"/>
    <n v="24"/>
    <n v="3"/>
    <x v="0"/>
    <x v="0"/>
    <s v="Project Manager"/>
    <s v="Scrum, reunião com Hilmar"/>
    <n v="99.83"/>
    <x v="1"/>
    <n v="330"/>
    <s v="Vockan Consulting Ltda"/>
    <x v="2"/>
  </r>
  <r>
    <x v="9"/>
    <d v="2025-06-10T00:00:00"/>
    <d v="2025-06-17T00:00:00"/>
    <s v="SOW"/>
    <n v="2025"/>
    <n v="6"/>
    <n v="10"/>
    <n v="24"/>
    <n v="3"/>
    <x v="0"/>
    <x v="0"/>
    <s v="Project Manager"/>
    <s v="Alinhamento presencial com Andre Miranda e alinhamento com Parpinelli, Scrum"/>
    <n v="99.83"/>
    <x v="1"/>
    <n v="330"/>
    <s v="Vockan Consulting Ltda"/>
    <x v="2"/>
  </r>
  <r>
    <x v="9"/>
    <d v="2025-06-11T00:00:00"/>
    <d v="2025-06-17T00:00:00"/>
    <s v="SOW"/>
    <n v="2025"/>
    <n v="6"/>
    <n v="11"/>
    <n v="24"/>
    <n v="2"/>
    <x v="0"/>
    <x v="0"/>
    <s v="Project Manager"/>
    <s v="Scrum, Alinhamento com Hilmar"/>
    <n v="99.83"/>
    <x v="1"/>
    <n v="220"/>
    <s v="Vockan Consulting Ltda"/>
    <x v="2"/>
  </r>
  <r>
    <x v="9"/>
    <d v="2025-06-12T00:00:00"/>
    <d v="2025-06-17T00:00:00"/>
    <s v="SOW"/>
    <n v="2025"/>
    <n v="6"/>
    <n v="12"/>
    <n v="24"/>
    <n v="3"/>
    <x v="0"/>
    <x v="0"/>
    <s v="Project Manager"/>
    <s v="Repriorização de demandas com Hilmar, teratamento de estimativas de projetos, alinhamento com André, scrum"/>
    <n v="99.83"/>
    <x v="1"/>
    <n v="330"/>
    <s v="Vockan Consulting Ltda"/>
    <x v="2"/>
  </r>
  <r>
    <x v="9"/>
    <d v="2025-06-16T00:00:00"/>
    <d v="2025-06-23T00:00:00"/>
    <s v="SOW"/>
    <n v="2025"/>
    <n v="6"/>
    <n v="16"/>
    <n v="25"/>
    <n v="4"/>
    <x v="0"/>
    <x v="0"/>
    <s v="Project Manager"/>
    <s v="Alinhamento com equipe sobre treinamento low code/no code, report projetos, reunião com hilmar, scrum"/>
    <n v="99.83"/>
    <x v="1"/>
    <n v="440"/>
    <s v="Vockan Consulting Ltda"/>
    <x v="2"/>
  </r>
  <r>
    <x v="9"/>
    <d v="2025-06-17T00:00:00"/>
    <d v="2025-06-23T00:00:00"/>
    <s v="SOW"/>
    <n v="2025"/>
    <n v="6"/>
    <n v="17"/>
    <n v="25"/>
    <n v="2"/>
    <x v="0"/>
    <x v="0"/>
    <s v="Project Manager"/>
    <s v="Fechamento de sprint, alinhamento com Hilmar"/>
    <n v="99.83"/>
    <x v="1"/>
    <n v="220"/>
    <s v="Vockan Consulting Ltda"/>
    <x v="2"/>
  </r>
  <r>
    <x v="9"/>
    <d v="2025-06-18T00:00:00"/>
    <d v="2025-06-23T00:00:00"/>
    <s v="SOW"/>
    <n v="2025"/>
    <n v="6"/>
    <n v="18"/>
    <n v="25"/>
    <n v="4"/>
    <x v="0"/>
    <x v="0"/>
    <s v="Project Manager"/>
    <s v="Reunião tec Clarios US, reunião 1:1 com Parpinelli, planejamento de sprint"/>
    <n v="99.83"/>
    <x v="1"/>
    <n v="440"/>
    <s v="Vockan Consulting Ltda"/>
    <x v="2"/>
  </r>
  <r>
    <x v="9"/>
    <d v="2025-06-20T00:00:00"/>
    <d v="2025-06-23T00:00:00"/>
    <s v="SOW"/>
    <n v="2025"/>
    <n v="6"/>
    <n v="20"/>
    <n v="25"/>
    <n v="2"/>
    <x v="0"/>
    <x v="0"/>
    <s v="Project Manager"/>
    <s v="Tratamento de backlog de desenvolvimento, reunião com Hilmar"/>
    <n v="99.83"/>
    <x v="1"/>
    <n v="220"/>
    <s v="Vockan Consulting Ltda"/>
    <x v="2"/>
  </r>
  <r>
    <x v="9"/>
    <d v="2025-06-23T00:00:00"/>
    <d v="2025-07-01T00:00:00"/>
    <s v="SOW"/>
    <n v="2025"/>
    <n v="6"/>
    <n v="23"/>
    <n v="26"/>
    <n v="4"/>
    <x v="0"/>
    <x v="0"/>
    <s v="Project Manager"/>
    <s v="Reunião com Hilmar, scrum, alinhamento de projetos, projetos em risco"/>
    <n v="99.83"/>
    <x v="1"/>
    <n v="440"/>
    <s v="Vockan Consulting Ltda"/>
    <x v="2"/>
  </r>
  <r>
    <x v="9"/>
    <d v="2025-06-24T00:00:00"/>
    <d v="2025-07-02T00:00:00"/>
    <s v="SOW"/>
    <n v="2025"/>
    <n v="6"/>
    <n v="24"/>
    <n v="26"/>
    <n v="5"/>
    <x v="0"/>
    <x v="0"/>
    <s v="Project Manager"/>
    <s v="Reunião tec com Casco, Alinhamento com Alan sobre Gabriel, Scrum, alinhamento com Renato sobre Android"/>
    <n v="99.83"/>
    <x v="1"/>
    <n v="550"/>
    <s v="Vockan Consulting Ltda"/>
    <x v="2"/>
  </r>
  <r>
    <x v="9"/>
    <d v="2025-06-25T00:00:00"/>
    <d v="2025-07-02T00:00:00"/>
    <s v="SOW"/>
    <n v="2025"/>
    <n v="6"/>
    <n v="25"/>
    <n v="26"/>
    <n v="1"/>
    <x v="0"/>
    <x v="0"/>
    <s v="Project Manager"/>
    <s v="Reunião com Gabriel, Scrum, alinhamento com Parpinelli"/>
    <n v="99.83"/>
    <x v="1"/>
    <n v="110"/>
    <s v="Vockan Consulting Ltda"/>
    <x v="2"/>
  </r>
  <r>
    <x v="9"/>
    <d v="2025-06-26T00:00:00"/>
    <d v="2025-07-02T00:00:00"/>
    <s v="SOW"/>
    <n v="2025"/>
    <n v="6"/>
    <n v="26"/>
    <n v="26"/>
    <n v="5"/>
    <x v="0"/>
    <x v="0"/>
    <s v="Project Manager"/>
    <s v="Alinhamento com Hilmar, diária com Parinelli, scrum, 1:1 André, update Viagem"/>
    <n v="99.83"/>
    <x v="1"/>
    <n v="550"/>
    <s v="Vockan Consulting Ltda"/>
    <x v="2"/>
  </r>
  <r>
    <x v="9"/>
    <d v="2025-06-27T00:00:00"/>
    <d v="2025-07-02T00:00:00"/>
    <s v="SOW"/>
    <n v="2025"/>
    <n v="6"/>
    <n v="27"/>
    <n v="26"/>
    <n v="3"/>
    <x v="0"/>
    <x v="0"/>
    <s v="Project Manager"/>
    <s v="Scrum, tratamento de projetos em andamento, aprovações e manutenção v-control"/>
    <n v="99.83"/>
    <x v="1"/>
    <n v="330"/>
    <s v="Vockan Consulting Ltda"/>
    <x v="2"/>
  </r>
  <r>
    <x v="10"/>
    <d v="2025-06-03T00:00:00"/>
    <d v="2025-06-09T00:00:00"/>
    <s v="SOW"/>
    <n v="2025"/>
    <n v="6"/>
    <n v="3"/>
    <n v="23"/>
    <n v="1"/>
    <x v="0"/>
    <x v="0"/>
    <s v="Project Manager"/>
    <s v="Alinhamento com Leopoldo e estrategia POC"/>
    <n v="157"/>
    <x v="0"/>
    <n v="173.00275482093664"/>
    <s v="ZF Passive Safety System Brazil Ltda"/>
    <x v="0"/>
  </r>
  <r>
    <x v="10"/>
    <d v="2025-06-05T00:00:00"/>
    <d v="2025-06-09T00:00:00"/>
    <s v="SOW"/>
    <n v="2025"/>
    <n v="6"/>
    <n v="5"/>
    <n v="23"/>
    <n v="1"/>
    <x v="0"/>
    <x v="0"/>
    <s v="Project Manager"/>
    <s v="Reunião semanal e mobilização de equipe para downtime"/>
    <n v="157"/>
    <x v="0"/>
    <n v="173.00275482093664"/>
    <s v="ZF Passive Safety System Brazil Ltda"/>
    <x v="0"/>
  </r>
  <r>
    <x v="10"/>
    <d v="2025-06-11T00:00:00"/>
    <d v="2025-06-17T00:00:00"/>
    <s v="SOW"/>
    <n v="2025"/>
    <n v="6"/>
    <n v="11"/>
    <n v="24"/>
    <n v="1"/>
    <x v="0"/>
    <x v="0"/>
    <s v="Project Manager"/>
    <s v="Reunião com Leopoldo sobre POC"/>
    <n v="157"/>
    <x v="0"/>
    <n v="173.00275482093664"/>
    <s v="ZF Passive Safety System Brazil Ltda"/>
    <x v="0"/>
  </r>
  <r>
    <x v="10"/>
    <d v="2025-06-12T00:00:00"/>
    <d v="2025-06-17T00:00:00"/>
    <s v="SOW"/>
    <n v="2025"/>
    <n v="6"/>
    <n v="12"/>
    <n v="24"/>
    <n v="1"/>
    <x v="0"/>
    <x v="0"/>
    <s v="Project Manager"/>
    <s v="Alinhamento semanal, reunião com Fabio"/>
    <n v="157"/>
    <x v="0"/>
    <n v="173.00275482093664"/>
    <s v="ZF Passive Safety System Brazil Ltda"/>
    <x v="0"/>
  </r>
  <r>
    <x v="10"/>
    <d v="2025-06-18T00:00:00"/>
    <d v="2025-06-23T00:00:00"/>
    <s v="SOW"/>
    <n v="2025"/>
    <n v="6"/>
    <n v="18"/>
    <n v="25"/>
    <n v="2"/>
    <x v="0"/>
    <x v="0"/>
    <s v="Project Manager"/>
    <s v="Alinhamento sobre testes da POC com time de funcionais"/>
    <n v="157"/>
    <x v="0"/>
    <n v="346.00550964187329"/>
    <s v="ZF Passive Safety System Brazil Ltda"/>
    <x v="0"/>
  </r>
  <r>
    <x v="10"/>
    <d v="2025-06-26T00:00:00"/>
    <d v="2025-07-02T00:00:00"/>
    <s v="SOW"/>
    <n v="2025"/>
    <n v="6"/>
    <n v="26"/>
    <n v="26"/>
    <n v="2"/>
    <x v="0"/>
    <x v="0"/>
    <s v="Project Manager"/>
    <s v="Alinhamento sobre pauta semana e POC"/>
    <n v="157"/>
    <x v="0"/>
    <n v="346.00550964187329"/>
    <s v="ZF Passive Safety System Brazil Ltda"/>
    <x v="0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BA7B32-41C6-49A1-AA6C-E14FAB0E8E9A}" name="Tabela dinâmica1" cacheId="253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3:G19" firstHeaderRow="0" firstDataRow="1" firstDataCol="5"/>
  <pivotFields count="18">
    <pivotField axis="axisRow" outline="0" showAll="0" defaultSubtotal="0">
      <items count="82">
        <item m="1" x="42"/>
        <item m="1" x="26"/>
        <item m="1" x="17"/>
        <item m="1" x="38"/>
        <item m="1" x="39"/>
        <item m="1" x="43"/>
        <item m="1" x="47"/>
        <item m="1" x="44"/>
        <item x="0"/>
        <item m="1" x="20"/>
        <item m="1" x="50"/>
        <item m="1" x="25"/>
        <item m="1" x="79"/>
        <item m="1" x="80"/>
        <item m="1" x="37"/>
        <item m="1" x="14"/>
        <item m="1" x="32"/>
        <item m="1" x="27"/>
        <item m="1" x="16"/>
        <item m="1" x="23"/>
        <item m="1" x="40"/>
        <item m="1" x="19"/>
        <item m="1" x="48"/>
        <item m="1" x="21"/>
        <item m="1" x="33"/>
        <item x="10"/>
        <item m="1" x="24"/>
        <item m="1" x="35"/>
        <item m="1" x="18"/>
        <item m="1" x="51"/>
        <item m="1" x="28"/>
        <item m="1" x="49"/>
        <item x="2"/>
        <item m="1" x="15"/>
        <item m="1" x="29"/>
        <item m="1" x="34"/>
        <item m="1" x="36"/>
        <item x="4"/>
        <item x="1"/>
        <item m="1" x="30"/>
        <item m="1" x="12"/>
        <item m="1" x="31"/>
        <item m="1" x="41"/>
        <item m="1" x="45"/>
        <item x="3"/>
        <item m="1" x="13"/>
        <item m="1" x="46"/>
        <item m="1" x="52"/>
        <item m="1" x="53"/>
        <item m="1" x="54"/>
        <item x="5"/>
        <item m="1" x="55"/>
        <item m="1" x="56"/>
        <item m="1" x="57"/>
        <item x="6"/>
        <item m="1" x="58"/>
        <item m="1" x="59"/>
        <item m="1" x="60"/>
        <item x="7"/>
        <item x="8"/>
        <item m="1" x="61"/>
        <item m="1" x="62"/>
        <item m="1" x="63"/>
        <item m="1" x="64"/>
        <item m="1" x="65"/>
        <item m="1" x="66"/>
        <item m="1" x="67"/>
        <item m="1" x="68"/>
        <item m="1" x="69"/>
        <item x="9"/>
        <item m="1" x="70"/>
        <item m="1" x="71"/>
        <item m="1" x="72"/>
        <item m="1" x="22"/>
        <item m="1" x="73"/>
        <item m="1" x="74"/>
        <item m="1" x="75"/>
        <item m="1" x="76"/>
        <item m="1" x="77"/>
        <item m="1" x="78"/>
        <item x="11"/>
        <item m="1" x="81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outline="0" showAll="0" sortType="ascending">
      <items count="37">
        <item m="1" x="8"/>
        <item m="1" x="29"/>
        <item m="1" x="15"/>
        <item m="1" x="23"/>
        <item m="1" x="14"/>
        <item m="1" x="21"/>
        <item m="1" x="11"/>
        <item m="1" x="7"/>
        <item m="1" x="10"/>
        <item m="1" x="3"/>
        <item h="1" m="1" x="22"/>
        <item m="1" x="2"/>
        <item m="1" x="12"/>
        <item m="1" x="28"/>
        <item m="1" x="9"/>
        <item m="1" x="30"/>
        <item m="1" x="27"/>
        <item m="1" x="26"/>
        <item m="1" x="35"/>
        <item m="1" x="17"/>
        <item m="1" x="20"/>
        <item m="1" x="18"/>
        <item m="1" x="33"/>
        <item m="1" x="16"/>
        <item m="1" x="31"/>
        <item m="1" x="24"/>
        <item m="1" x="5"/>
        <item m="1" x="6"/>
        <item m="1" x="32"/>
        <item x="0"/>
        <item m="1" x="4"/>
        <item h="1" m="1" x="25"/>
        <item m="1" x="34"/>
        <item m="1" x="13"/>
        <item m="1" x="19"/>
        <item h="1" x="1"/>
        <item t="default"/>
      </items>
    </pivotField>
    <pivotField axis="axisRow" outline="0" showAll="0" defaultSubtotal="0">
      <items count="51">
        <item m="1" x="24"/>
        <item m="1" x="9"/>
        <item m="1" x="11"/>
        <item m="1" x="3"/>
        <item m="1" x="21"/>
        <item m="1" x="8"/>
        <item m="1" x="36"/>
        <item m="1" x="42"/>
        <item m="1" x="35"/>
        <item m="1" x="27"/>
        <item m="1" x="14"/>
        <item m="1" x="25"/>
        <item m="1" x="15"/>
        <item m="1" x="10"/>
        <item m="1" x="4"/>
        <item m="1" x="12"/>
        <item m="1" x="16"/>
        <item m="1" x="20"/>
        <item m="1" x="44"/>
        <item m="1" x="5"/>
        <item m="1" x="43"/>
        <item m="1" x="39"/>
        <item m="1" x="19"/>
        <item m="1" x="29"/>
        <item m="1" x="6"/>
        <item m="1" x="18"/>
        <item m="1" x="48"/>
        <item m="1" x="32"/>
        <item m="1" x="28"/>
        <item m="1" x="34"/>
        <item m="1" x="33"/>
        <item m="1" x="17"/>
        <item m="1" x="22"/>
        <item m="1" x="40"/>
        <item m="1" x="45"/>
        <item x="0"/>
        <item m="1" x="37"/>
        <item m="1" x="30"/>
        <item m="1" x="23"/>
        <item m="1" x="2"/>
        <item m="1" x="13"/>
        <item m="1" x="46"/>
        <item m="1" x="41"/>
        <item m="1" x="7"/>
        <item m="1" x="47"/>
        <item m="1" x="49"/>
        <item m="1" x="38"/>
        <item m="1" x="31"/>
        <item m="1" x="26"/>
        <item x="1"/>
        <item m="1" x="50"/>
      </items>
    </pivotField>
    <pivotField showAll="0"/>
    <pivotField showAll="0"/>
    <pivotField showAll="0"/>
    <pivotField axis="axisRow" outline="0" showAll="0" defaultSubtotal="0">
      <items count="59">
        <item m="1" x="52"/>
        <item m="1" x="55"/>
        <item m="1" x="19"/>
        <item m="1" x="57"/>
        <item m="1" x="53"/>
        <item m="1" x="46"/>
        <item m="1" x="44"/>
        <item m="1" x="41"/>
        <item m="1" x="28"/>
        <item m="1" x="26"/>
        <item m="1" x="20"/>
        <item m="1" x="50"/>
        <item m="1" x="47"/>
        <item m="1" x="11"/>
        <item m="1" x="5"/>
        <item m="1" x="42"/>
        <item m="1" x="38"/>
        <item x="1"/>
        <item m="1" x="37"/>
        <item m="1" x="4"/>
        <item m="1" x="13"/>
        <item m="1" x="21"/>
        <item m="1" x="27"/>
        <item m="1" x="51"/>
        <item m="1" x="16"/>
        <item m="1" x="36"/>
        <item m="1" x="48"/>
        <item m="1" x="54"/>
        <item m="1" x="23"/>
        <item m="1" x="22"/>
        <item m="1" x="6"/>
        <item m="1" x="33"/>
        <item m="1" x="24"/>
        <item m="1" x="56"/>
        <item m="1" x="17"/>
        <item m="1" x="30"/>
        <item m="1" x="25"/>
        <item m="1" x="14"/>
        <item m="1" x="40"/>
        <item m="1" x="18"/>
        <item x="0"/>
        <item m="1" x="9"/>
        <item m="1" x="3"/>
        <item m="1" x="34"/>
        <item m="1" x="39"/>
        <item m="1" x="43"/>
        <item m="1" x="31"/>
        <item m="1" x="32"/>
        <item m="1" x="29"/>
        <item m="1" x="15"/>
        <item m="1" x="7"/>
        <item m="1" x="49"/>
        <item m="1" x="12"/>
        <item m="1" x="10"/>
        <item m="1" x="45"/>
        <item m="1" x="8"/>
        <item m="1" x="35"/>
        <item x="2"/>
        <item m="1" x="58"/>
      </items>
    </pivotField>
    <pivotField dataField="1" showAll="0"/>
    <pivotField showAll="0"/>
    <pivotField axis="axisRow" outline="0" showAll="0">
      <items count="5">
        <item x="0"/>
        <item x="1"/>
        <item x="2"/>
        <item x="3"/>
        <item t="default"/>
      </items>
    </pivotField>
  </pivotFields>
  <rowFields count="5">
    <field x="9"/>
    <field x="17"/>
    <field x="10"/>
    <field x="0"/>
    <field x="14"/>
  </rowFields>
  <rowItems count="16">
    <i>
      <x v="29"/>
      <x/>
      <x v="35"/>
      <x v="8"/>
      <x v="40"/>
    </i>
    <i r="3">
      <x v="25"/>
      <x v="40"/>
    </i>
    <i r="3">
      <x v="32"/>
      <x v="40"/>
    </i>
    <i r="3">
      <x v="37"/>
      <x v="40"/>
    </i>
    <i r="3">
      <x v="38"/>
      <x v="40"/>
    </i>
    <i t="default" r="1">
      <x/>
    </i>
    <i r="1">
      <x v="1"/>
      <x v="35"/>
      <x v="44"/>
      <x v="40"/>
    </i>
    <i t="default" r="1">
      <x v="1"/>
    </i>
    <i r="1">
      <x v="2"/>
      <x v="35"/>
      <x v="50"/>
      <x v="17"/>
    </i>
    <i r="3">
      <x v="54"/>
      <x v="17"/>
    </i>
    <i r="3">
      <x v="58"/>
      <x v="17"/>
    </i>
    <i r="3">
      <x v="59"/>
      <x v="17"/>
    </i>
    <i r="3">
      <x v="69"/>
      <x v="17"/>
    </i>
    <i t="default" r="1">
      <x v="2"/>
    </i>
    <i t="default"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Time Actual" fld="8" baseField="14" baseItem="13" numFmtId="164"/>
    <dataField name="Soma de Total Cost" fld="15" baseField="14" baseItem="13" numFmtId="165"/>
  </dataFields>
  <formats count="5">
    <format dxfId="5">
      <pivotArea dataOnly="0" outline="0" fieldPosition="0">
        <references count="1">
          <reference field="9" count="0" defaultSubtotal="1"/>
        </references>
      </pivotArea>
    </format>
    <format dxfId="6">
      <pivotArea dataOnly="0" outline="0" fieldPosition="0">
        <references count="1">
          <reference field="9" count="0" defaultSubtotal="1"/>
        </references>
      </pivotArea>
    </format>
    <format dxfId="7">
      <pivotArea dataOnly="0" outline="0" fieldPosition="0">
        <references count="1">
          <reference field="17" count="0" defaultSubtotal="1"/>
        </references>
      </pivotArea>
    </format>
    <format dxfId="8">
      <pivotArea dataOnly="0" labelOnly="1" outline="0" fieldPosition="0">
        <references count="1">
          <reference field="14" count="0"/>
        </references>
      </pivotArea>
    </format>
    <format dxfId="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4" xr16:uid="{0755E68E-42D1-4382-971C-6580B844ED11}" autoFormatId="16" applyNumberFormats="0" applyBorderFormats="0" applyFontFormats="0" applyPatternFormats="0" applyAlignmentFormats="0" applyWidthHeightFormats="0">
  <queryTableRefresh nextId="25">
    <queryTableFields count="18">
      <queryTableField id="1" name="FunnelID" tableColumnId="1"/>
      <queryTableField id="2" name="Work Date" tableColumnId="2"/>
      <queryTableField id="3" name="Date TimeSheet" tableColumnId="3"/>
      <queryTableField id="4" name="CCID" tableColumnId="4"/>
      <queryTableField id="5" name="Year" tableColumnId="5"/>
      <queryTableField id="6" name="Month" tableColumnId="6"/>
      <queryTableField id="7" name="Day" tableColumnId="7"/>
      <queryTableField id="8" name="Week" tableColumnId="8"/>
      <queryTableField id="9" name="Time Actual" tableColumnId="9"/>
      <queryTableField id="10" name="Company" tableColumnId="10"/>
      <queryTableField id="11" name="Resource Name" tableColumnId="11"/>
      <queryTableField id="12" name="Role" tableColumnId="12"/>
      <queryTableField id="13" name="Comments" tableColumnId="13"/>
      <queryTableField id="14" name="CostRate" tableColumnId="14"/>
      <queryTableField id="22" dataBound="0" tableColumnId="19"/>
      <queryTableField id="21" dataBound="0" tableColumnId="18"/>
      <queryTableField id="16" name="Customer Name" tableColumnId="16"/>
      <queryTableField id="17" name="Invoiced Date" tableColumnId="17"/>
    </queryTableFields>
    <queryTableDeletedFields count="2">
      <deletedField name="Invoice Number"/>
      <deletedField name="BillingR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63B924-8B09-43B6-B1CE-19FB6D0F5A4C}" name="ApprovedTimeReport_000_202567__1" displayName="ApprovedTimeReport_000_202567__1" ref="A1:R80" tableType="queryTable" totalsRowCount="1">
  <autoFilter ref="A1:R79" xr:uid="{0A63B924-8B09-43B6-B1CE-19FB6D0F5A4C}"/>
  <sortState xmlns:xlrd2="http://schemas.microsoft.com/office/spreadsheetml/2017/richdata2" ref="A2:R79">
    <sortCondition ref="Q2:Q79"/>
    <sortCondition ref="A2:A79"/>
    <sortCondition ref="B2:B79"/>
    <sortCondition ref="K2:K79"/>
  </sortState>
  <tableColumns count="18">
    <tableColumn id="1" xr3:uid="{75CD2B33-BF99-4EE9-9FCC-0EAA97B99199}" uniqueName="1" name="FunnelID" queryTableFieldId="1" dataDxfId="29" totalsRowDxfId="28"/>
    <tableColumn id="2" xr3:uid="{353E7810-296C-4592-A43A-F796CFA55504}" uniqueName="2" name="Work Date" queryTableFieldId="2" dataDxfId="27" totalsRowDxfId="26"/>
    <tableColumn id="3" xr3:uid="{56555F0E-4774-47D2-B853-A78BD90DA174}" uniqueName="3" name="Date TimeSheet" queryTableFieldId="3" dataDxfId="25" totalsRowDxfId="24"/>
    <tableColumn id="4" xr3:uid="{DD8C14CC-6903-4831-9A4D-C2710A473AB4}" uniqueName="4" name="CCID" queryTableFieldId="4" dataDxfId="23" totalsRowDxfId="22"/>
    <tableColumn id="5" xr3:uid="{B429FE5F-08D3-4D31-804B-B52A22A6AC82}" uniqueName="5" name="Year" queryTableFieldId="5"/>
    <tableColumn id="6" xr3:uid="{8A7C015F-E89E-47F6-8CE0-E7A9CE720E5D}" uniqueName="6" name="Month" queryTableFieldId="6"/>
    <tableColumn id="7" xr3:uid="{74CBAD65-2613-4F4C-A6B5-AE48F4EEF319}" uniqueName="7" name="Day" queryTableFieldId="7"/>
    <tableColumn id="8" xr3:uid="{FA99E3D9-A94D-4A36-8B51-45A98BF4C173}" uniqueName="8" name="Week" queryTableFieldId="8"/>
    <tableColumn id="9" xr3:uid="{27F71C77-A04E-4541-8776-247751051F39}" uniqueName="9" name="Time Actual" queryTableFieldId="9" dataCellStyle="Vírgula"/>
    <tableColumn id="10" xr3:uid="{0660E156-656F-42BA-9BAF-580C99037EB1}" uniqueName="10" name="Company" queryTableFieldId="10" dataDxfId="21" totalsRowDxfId="20"/>
    <tableColumn id="11" xr3:uid="{70A8CCC2-CBBF-4CFA-BE10-E12E6396FAE2}" uniqueName="11" name="Resource Name" queryTableFieldId="11" dataDxfId="19" totalsRowDxfId="18"/>
    <tableColumn id="12" xr3:uid="{4E79F8F8-5C6B-4925-A536-8E415DF250EB}" uniqueName="12" name="Role" queryTableFieldId="12" dataDxfId="17" totalsRowDxfId="16"/>
    <tableColumn id="13" xr3:uid="{48E1EE19-6CCE-4DD0-AAC0-463052EC3626}" uniqueName="13" name="Comments" queryTableFieldId="13" dataDxfId="15" totalsRowDxfId="14"/>
    <tableColumn id="14" xr3:uid="{D673427E-1939-416D-B3CC-89A8F6292546}" uniqueName="14" name="CostRate" queryTableFieldId="14" dataCellStyle="Vírgula"/>
    <tableColumn id="19" xr3:uid="{9027E774-98B1-45E5-B9E8-6FF1C07AFF10}" uniqueName="19" name="CostRate w/ Taxes" queryTableFieldId="22" dataCellStyle="Vírgula">
      <calculatedColumnFormula>ApprovedTimeReport_000_202567__1[[#This Row],[CostRate]]/0.9075</calculatedColumnFormula>
    </tableColumn>
    <tableColumn id="18" xr3:uid="{F940608B-82E0-4C2E-A1B8-725E29C916A1}" uniqueName="18" name="Total Cost" queryTableFieldId="21" dataCellStyle="Vírgula">
      <calculatedColumnFormula>ApprovedTimeReport_000_202567__1[[#This Row],[CostRate w/ Taxes]]*ApprovedTimeReport_000_202567__1[[#This Row],[Time Actual]]</calculatedColumnFormula>
    </tableColumn>
    <tableColumn id="16" xr3:uid="{71E972B2-EC2A-43C5-830D-3366D886E289}" uniqueName="16" name="Customer Name" queryTableFieldId="16" dataDxfId="13" totalsRowDxfId="12"/>
    <tableColumn id="17" xr3:uid="{2FAF4D91-1E6C-4D6B-8557-D48E81D8B746}" uniqueName="17" name="Project Type" queryTableFieldId="17" dataDxfId="11" totalsRow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0DE73-6FD7-4DDB-8EE6-DC30C2DDF337}">
  <dimension ref="A3:H363"/>
  <sheetViews>
    <sheetView tabSelected="1" zoomScale="80" zoomScaleNormal="80" workbookViewId="0">
      <selection activeCell="G17" sqref="G17:H17"/>
    </sheetView>
  </sheetViews>
  <sheetFormatPr defaultRowHeight="14.4" x14ac:dyDescent="0.3"/>
  <cols>
    <col min="1" max="1" width="18.44140625" bestFit="1" customWidth="1"/>
    <col min="2" max="2" width="14.5546875" bestFit="1" customWidth="1"/>
    <col min="3" max="3" width="17.77734375" bestFit="1" customWidth="1"/>
    <col min="4" max="4" width="15.88671875" bestFit="1" customWidth="1"/>
    <col min="5" max="5" width="20.109375" style="7" bestFit="1" customWidth="1"/>
    <col min="6" max="6" width="19.33203125" bestFit="1" customWidth="1"/>
    <col min="7" max="7" width="18" bestFit="1" customWidth="1"/>
  </cols>
  <sheetData>
    <row r="3" spans="1:8" x14ac:dyDescent="0.3">
      <c r="A3" s="8" t="s">
        <v>305</v>
      </c>
      <c r="B3" s="8" t="s">
        <v>185</v>
      </c>
      <c r="C3" s="8" t="s">
        <v>10</v>
      </c>
      <c r="D3" s="8" t="s">
        <v>0</v>
      </c>
      <c r="E3" s="8" t="s">
        <v>303</v>
      </c>
      <c r="F3" t="s">
        <v>307</v>
      </c>
      <c r="G3" t="s">
        <v>308</v>
      </c>
    </row>
    <row r="4" spans="1:8" x14ac:dyDescent="0.3">
      <c r="A4" t="s">
        <v>67</v>
      </c>
      <c r="B4" t="s">
        <v>187</v>
      </c>
      <c r="C4" t="s">
        <v>68</v>
      </c>
      <c r="D4" t="s">
        <v>46</v>
      </c>
      <c r="E4" s="17">
        <v>173.00275482093664</v>
      </c>
      <c r="F4" s="9">
        <v>1</v>
      </c>
      <c r="G4" s="14">
        <v>173.00275482093664</v>
      </c>
    </row>
    <row r="5" spans="1:8" x14ac:dyDescent="0.3">
      <c r="D5" t="s">
        <v>40</v>
      </c>
      <c r="E5" s="17">
        <v>173.00275482093664</v>
      </c>
      <c r="F5" s="9">
        <v>8</v>
      </c>
      <c r="G5" s="14">
        <v>1384.0220385674932</v>
      </c>
    </row>
    <row r="6" spans="1:8" x14ac:dyDescent="0.3">
      <c r="D6" t="s">
        <v>60</v>
      </c>
      <c r="E6" s="17">
        <v>173.00275482093664</v>
      </c>
      <c r="F6" s="9">
        <v>1</v>
      </c>
      <c r="G6" s="14">
        <v>173.00275482093664</v>
      </c>
    </row>
    <row r="7" spans="1:8" x14ac:dyDescent="0.3">
      <c r="D7" t="s">
        <v>63</v>
      </c>
      <c r="E7" s="17">
        <v>173.00275482093664</v>
      </c>
      <c r="F7" s="9">
        <v>4</v>
      </c>
      <c r="G7" s="14">
        <v>692.01101928374658</v>
      </c>
    </row>
    <row r="8" spans="1:8" x14ac:dyDescent="0.3">
      <c r="D8" t="s">
        <v>27</v>
      </c>
      <c r="E8" s="17">
        <v>173.00275482093664</v>
      </c>
      <c r="F8" s="9">
        <v>17</v>
      </c>
      <c r="G8" s="14">
        <v>2941.0468319559232</v>
      </c>
    </row>
    <row r="9" spans="1:8" x14ac:dyDescent="0.3">
      <c r="B9" s="12" t="s">
        <v>310</v>
      </c>
      <c r="C9" s="12"/>
      <c r="D9" s="12"/>
      <c r="E9" s="12"/>
      <c r="F9" s="13">
        <v>31</v>
      </c>
      <c r="G9" s="15">
        <v>5363.0853994490362</v>
      </c>
      <c r="H9" t="s">
        <v>313</v>
      </c>
    </row>
    <row r="10" spans="1:8" x14ac:dyDescent="0.3">
      <c r="B10" t="s">
        <v>195</v>
      </c>
      <c r="C10" t="s">
        <v>68</v>
      </c>
      <c r="D10" t="s">
        <v>91</v>
      </c>
      <c r="E10" s="17">
        <v>173.00275482093664</v>
      </c>
      <c r="F10" s="9">
        <v>1</v>
      </c>
      <c r="G10" s="14">
        <v>173.00275482093664</v>
      </c>
    </row>
    <row r="11" spans="1:8" x14ac:dyDescent="0.3">
      <c r="B11" s="12" t="s">
        <v>312</v>
      </c>
      <c r="C11" s="12"/>
      <c r="D11" s="12"/>
      <c r="E11" s="12"/>
      <c r="F11" s="13">
        <v>1</v>
      </c>
      <c r="G11" s="15">
        <v>173.00275482093664</v>
      </c>
      <c r="H11" t="s">
        <v>314</v>
      </c>
    </row>
    <row r="12" spans="1:8" x14ac:dyDescent="0.3">
      <c r="B12" t="s">
        <v>191</v>
      </c>
      <c r="C12" t="s">
        <v>68</v>
      </c>
      <c r="D12" t="s">
        <v>30</v>
      </c>
      <c r="E12" s="17">
        <v>110</v>
      </c>
      <c r="F12" s="9">
        <v>3</v>
      </c>
      <c r="G12" s="14">
        <v>330</v>
      </c>
    </row>
    <row r="13" spans="1:8" x14ac:dyDescent="0.3">
      <c r="D13" t="s">
        <v>66</v>
      </c>
      <c r="E13" s="17">
        <v>110</v>
      </c>
      <c r="F13" s="9">
        <v>37</v>
      </c>
      <c r="G13" s="14">
        <v>4070</v>
      </c>
    </row>
    <row r="14" spans="1:8" x14ac:dyDescent="0.3">
      <c r="D14" t="s">
        <v>72</v>
      </c>
      <c r="E14" s="17">
        <v>110</v>
      </c>
      <c r="F14" s="9">
        <v>22</v>
      </c>
      <c r="G14" s="14">
        <v>2420</v>
      </c>
    </row>
    <row r="15" spans="1:8" x14ac:dyDescent="0.3">
      <c r="D15" t="s">
        <v>37</v>
      </c>
      <c r="E15" s="17">
        <v>110</v>
      </c>
      <c r="F15" s="9">
        <v>14</v>
      </c>
      <c r="G15" s="14">
        <v>1540</v>
      </c>
    </row>
    <row r="16" spans="1:8" x14ac:dyDescent="0.3">
      <c r="D16" t="s">
        <v>18</v>
      </c>
      <c r="E16" s="17">
        <v>110</v>
      </c>
      <c r="F16" s="9">
        <v>54</v>
      </c>
      <c r="G16" s="14">
        <v>5940</v>
      </c>
    </row>
    <row r="17" spans="1:8" x14ac:dyDescent="0.3">
      <c r="B17" s="12" t="s">
        <v>311</v>
      </c>
      <c r="C17" s="12"/>
      <c r="D17" s="12"/>
      <c r="E17" s="12"/>
      <c r="F17" s="13">
        <v>130</v>
      </c>
      <c r="G17" s="15">
        <v>14300</v>
      </c>
      <c r="H17" t="s">
        <v>315</v>
      </c>
    </row>
    <row r="18" spans="1:8" x14ac:dyDescent="0.3">
      <c r="A18" s="10" t="s">
        <v>309</v>
      </c>
      <c r="B18" s="10"/>
      <c r="C18" s="10"/>
      <c r="D18" s="10"/>
      <c r="E18" s="10"/>
      <c r="F18" s="11">
        <v>162</v>
      </c>
      <c r="G18" s="16">
        <v>19836.088154269972</v>
      </c>
    </row>
    <row r="19" spans="1:8" x14ac:dyDescent="0.3">
      <c r="A19" t="s">
        <v>306</v>
      </c>
      <c r="E19"/>
      <c r="F19" s="9">
        <v>162</v>
      </c>
      <c r="G19" s="14">
        <v>19836.088154269972</v>
      </c>
    </row>
    <row r="20" spans="1:8" x14ac:dyDescent="0.3">
      <c r="E20"/>
    </row>
    <row r="21" spans="1:8" x14ac:dyDescent="0.3">
      <c r="E21"/>
    </row>
    <row r="22" spans="1:8" x14ac:dyDescent="0.3">
      <c r="E22"/>
    </row>
    <row r="23" spans="1:8" x14ac:dyDescent="0.3">
      <c r="E23"/>
    </row>
    <row r="24" spans="1:8" x14ac:dyDescent="0.3">
      <c r="E24"/>
    </row>
    <row r="25" spans="1:8" x14ac:dyDescent="0.3">
      <c r="E25"/>
    </row>
    <row r="26" spans="1:8" x14ac:dyDescent="0.3">
      <c r="E26"/>
    </row>
    <row r="27" spans="1:8" x14ac:dyDescent="0.3">
      <c r="E27"/>
    </row>
    <row r="28" spans="1:8" x14ac:dyDescent="0.3">
      <c r="E28"/>
    </row>
    <row r="29" spans="1:8" x14ac:dyDescent="0.3">
      <c r="E29"/>
    </row>
    <row r="30" spans="1:8" x14ac:dyDescent="0.3">
      <c r="E30"/>
    </row>
    <row r="31" spans="1:8" x14ac:dyDescent="0.3">
      <c r="E31"/>
    </row>
    <row r="32" spans="1:8" x14ac:dyDescent="0.3">
      <c r="E32"/>
    </row>
    <row r="33" spans="5:5" x14ac:dyDescent="0.3">
      <c r="E33"/>
    </row>
    <row r="34" spans="5:5" x14ac:dyDescent="0.3">
      <c r="E34"/>
    </row>
    <row r="35" spans="5:5" x14ac:dyDescent="0.3">
      <c r="E35"/>
    </row>
    <row r="36" spans="5:5" x14ac:dyDescent="0.3">
      <c r="E36"/>
    </row>
    <row r="37" spans="5:5" x14ac:dyDescent="0.3">
      <c r="E37"/>
    </row>
    <row r="38" spans="5:5" x14ac:dyDescent="0.3">
      <c r="E38"/>
    </row>
    <row r="39" spans="5:5" x14ac:dyDescent="0.3">
      <c r="E39"/>
    </row>
    <row r="40" spans="5:5" x14ac:dyDescent="0.3">
      <c r="E40"/>
    </row>
    <row r="41" spans="5:5" x14ac:dyDescent="0.3">
      <c r="E41"/>
    </row>
    <row r="42" spans="5:5" x14ac:dyDescent="0.3">
      <c r="E42"/>
    </row>
    <row r="43" spans="5:5" x14ac:dyDescent="0.3">
      <c r="E43"/>
    </row>
    <row r="44" spans="5:5" x14ac:dyDescent="0.3">
      <c r="E44"/>
    </row>
    <row r="45" spans="5:5" x14ac:dyDescent="0.3">
      <c r="E45"/>
    </row>
    <row r="46" spans="5:5" x14ac:dyDescent="0.3">
      <c r="E46"/>
    </row>
    <row r="47" spans="5:5" x14ac:dyDescent="0.3">
      <c r="E47"/>
    </row>
    <row r="48" spans="5:5" x14ac:dyDescent="0.3">
      <c r="E48"/>
    </row>
    <row r="49" spans="5:5" x14ac:dyDescent="0.3">
      <c r="E49"/>
    </row>
    <row r="50" spans="5:5" x14ac:dyDescent="0.3">
      <c r="E50"/>
    </row>
    <row r="51" spans="5:5" x14ac:dyDescent="0.3">
      <c r="E51"/>
    </row>
    <row r="52" spans="5:5" x14ac:dyDescent="0.3">
      <c r="E52"/>
    </row>
    <row r="53" spans="5:5" x14ac:dyDescent="0.3">
      <c r="E53"/>
    </row>
    <row r="54" spans="5:5" x14ac:dyDescent="0.3">
      <c r="E54"/>
    </row>
    <row r="55" spans="5:5" x14ac:dyDescent="0.3">
      <c r="E55"/>
    </row>
    <row r="56" spans="5:5" x14ac:dyDescent="0.3">
      <c r="E56"/>
    </row>
    <row r="57" spans="5:5" x14ac:dyDescent="0.3">
      <c r="E57"/>
    </row>
    <row r="58" spans="5:5" x14ac:dyDescent="0.3">
      <c r="E58"/>
    </row>
    <row r="59" spans="5:5" x14ac:dyDescent="0.3">
      <c r="E59"/>
    </row>
    <row r="60" spans="5:5" x14ac:dyDescent="0.3">
      <c r="E60"/>
    </row>
    <row r="61" spans="5:5" x14ac:dyDescent="0.3">
      <c r="E61"/>
    </row>
    <row r="62" spans="5:5" x14ac:dyDescent="0.3">
      <c r="E62"/>
    </row>
    <row r="63" spans="5:5" x14ac:dyDescent="0.3">
      <c r="E63"/>
    </row>
    <row r="64" spans="5:5" x14ac:dyDescent="0.3">
      <c r="E64"/>
    </row>
    <row r="65" spans="5:5" x14ac:dyDescent="0.3">
      <c r="E65"/>
    </row>
    <row r="66" spans="5:5" x14ac:dyDescent="0.3">
      <c r="E66"/>
    </row>
    <row r="67" spans="5:5" x14ac:dyDescent="0.3">
      <c r="E67"/>
    </row>
    <row r="68" spans="5:5" x14ac:dyDescent="0.3">
      <c r="E68"/>
    </row>
    <row r="69" spans="5:5" x14ac:dyDescent="0.3">
      <c r="E69"/>
    </row>
    <row r="70" spans="5:5" x14ac:dyDescent="0.3">
      <c r="E70"/>
    </row>
    <row r="71" spans="5:5" x14ac:dyDescent="0.3">
      <c r="E71"/>
    </row>
    <row r="72" spans="5:5" x14ac:dyDescent="0.3">
      <c r="E72"/>
    </row>
    <row r="73" spans="5:5" x14ac:dyDescent="0.3">
      <c r="E73"/>
    </row>
    <row r="74" spans="5:5" x14ac:dyDescent="0.3">
      <c r="E74"/>
    </row>
    <row r="75" spans="5:5" x14ac:dyDescent="0.3">
      <c r="E75"/>
    </row>
    <row r="76" spans="5:5" x14ac:dyDescent="0.3">
      <c r="E76"/>
    </row>
    <row r="77" spans="5:5" x14ac:dyDescent="0.3">
      <c r="E77"/>
    </row>
    <row r="78" spans="5:5" x14ac:dyDescent="0.3">
      <c r="E78"/>
    </row>
    <row r="79" spans="5:5" x14ac:dyDescent="0.3">
      <c r="E79"/>
    </row>
    <row r="80" spans="5:5" x14ac:dyDescent="0.3">
      <c r="E80"/>
    </row>
    <row r="81" spans="5:5" x14ac:dyDescent="0.3">
      <c r="E81"/>
    </row>
    <row r="82" spans="5:5" x14ac:dyDescent="0.3">
      <c r="E82"/>
    </row>
    <row r="83" spans="5:5" x14ac:dyDescent="0.3">
      <c r="E83"/>
    </row>
    <row r="84" spans="5:5" x14ac:dyDescent="0.3">
      <c r="E84"/>
    </row>
    <row r="85" spans="5:5" x14ac:dyDescent="0.3">
      <c r="E85"/>
    </row>
    <row r="86" spans="5:5" x14ac:dyDescent="0.3">
      <c r="E86"/>
    </row>
    <row r="87" spans="5:5" x14ac:dyDescent="0.3">
      <c r="E87"/>
    </row>
    <row r="88" spans="5:5" x14ac:dyDescent="0.3">
      <c r="E88"/>
    </row>
    <row r="89" spans="5:5" x14ac:dyDescent="0.3">
      <c r="E89"/>
    </row>
    <row r="90" spans="5:5" x14ac:dyDescent="0.3">
      <c r="E90"/>
    </row>
    <row r="91" spans="5:5" x14ac:dyDescent="0.3">
      <c r="E91"/>
    </row>
    <row r="92" spans="5:5" x14ac:dyDescent="0.3">
      <c r="E92"/>
    </row>
    <row r="93" spans="5:5" x14ac:dyDescent="0.3">
      <c r="E93"/>
    </row>
    <row r="94" spans="5:5" x14ac:dyDescent="0.3">
      <c r="E94"/>
    </row>
    <row r="95" spans="5:5" x14ac:dyDescent="0.3">
      <c r="E95"/>
    </row>
    <row r="96" spans="5:5" x14ac:dyDescent="0.3">
      <c r="E96"/>
    </row>
    <row r="97" spans="5:5" x14ac:dyDescent="0.3">
      <c r="E97"/>
    </row>
    <row r="98" spans="5:5" x14ac:dyDescent="0.3">
      <c r="E98"/>
    </row>
    <row r="99" spans="5:5" x14ac:dyDescent="0.3">
      <c r="E99"/>
    </row>
    <row r="100" spans="5:5" x14ac:dyDescent="0.3">
      <c r="E100"/>
    </row>
    <row r="101" spans="5:5" x14ac:dyDescent="0.3">
      <c r="E101"/>
    </row>
    <row r="102" spans="5:5" x14ac:dyDescent="0.3">
      <c r="E102"/>
    </row>
    <row r="103" spans="5:5" x14ac:dyDescent="0.3">
      <c r="E103"/>
    </row>
    <row r="104" spans="5:5" x14ac:dyDescent="0.3">
      <c r="E104"/>
    </row>
    <row r="105" spans="5:5" x14ac:dyDescent="0.3">
      <c r="E105"/>
    </row>
    <row r="106" spans="5:5" x14ac:dyDescent="0.3">
      <c r="E106"/>
    </row>
    <row r="107" spans="5:5" x14ac:dyDescent="0.3">
      <c r="E107"/>
    </row>
    <row r="108" spans="5:5" x14ac:dyDescent="0.3">
      <c r="E108"/>
    </row>
    <row r="109" spans="5:5" x14ac:dyDescent="0.3">
      <c r="E109"/>
    </row>
    <row r="110" spans="5:5" x14ac:dyDescent="0.3">
      <c r="E110"/>
    </row>
    <row r="111" spans="5:5" x14ac:dyDescent="0.3">
      <c r="E111"/>
    </row>
    <row r="112" spans="5:5" x14ac:dyDescent="0.3">
      <c r="E112"/>
    </row>
    <row r="113" spans="5:5" x14ac:dyDescent="0.3">
      <c r="E113"/>
    </row>
    <row r="114" spans="5:5" x14ac:dyDescent="0.3">
      <c r="E114"/>
    </row>
    <row r="115" spans="5:5" x14ac:dyDescent="0.3">
      <c r="E115"/>
    </row>
    <row r="116" spans="5:5" x14ac:dyDescent="0.3">
      <c r="E116"/>
    </row>
    <row r="117" spans="5:5" x14ac:dyDescent="0.3">
      <c r="E117"/>
    </row>
    <row r="118" spans="5:5" x14ac:dyDescent="0.3">
      <c r="E118"/>
    </row>
    <row r="119" spans="5:5" x14ac:dyDescent="0.3">
      <c r="E119"/>
    </row>
    <row r="120" spans="5:5" x14ac:dyDescent="0.3">
      <c r="E120"/>
    </row>
    <row r="121" spans="5:5" x14ac:dyDescent="0.3">
      <c r="E121"/>
    </row>
    <row r="122" spans="5:5" x14ac:dyDescent="0.3">
      <c r="E122"/>
    </row>
    <row r="123" spans="5:5" x14ac:dyDescent="0.3">
      <c r="E123"/>
    </row>
    <row r="124" spans="5:5" x14ac:dyDescent="0.3">
      <c r="E124"/>
    </row>
    <row r="125" spans="5:5" x14ac:dyDescent="0.3">
      <c r="E125"/>
    </row>
    <row r="126" spans="5:5" x14ac:dyDescent="0.3">
      <c r="E126"/>
    </row>
    <row r="127" spans="5:5" x14ac:dyDescent="0.3">
      <c r="E127"/>
    </row>
    <row r="128" spans="5:5" x14ac:dyDescent="0.3">
      <c r="E128"/>
    </row>
    <row r="129" spans="5:5" x14ac:dyDescent="0.3">
      <c r="E129"/>
    </row>
    <row r="130" spans="5:5" x14ac:dyDescent="0.3">
      <c r="E130"/>
    </row>
    <row r="131" spans="5:5" x14ac:dyDescent="0.3">
      <c r="E131"/>
    </row>
    <row r="132" spans="5:5" x14ac:dyDescent="0.3">
      <c r="E132"/>
    </row>
    <row r="133" spans="5:5" x14ac:dyDescent="0.3">
      <c r="E133"/>
    </row>
    <row r="134" spans="5:5" x14ac:dyDescent="0.3">
      <c r="E134"/>
    </row>
    <row r="135" spans="5:5" x14ac:dyDescent="0.3">
      <c r="E135"/>
    </row>
    <row r="136" spans="5:5" x14ac:dyDescent="0.3">
      <c r="E136"/>
    </row>
    <row r="137" spans="5:5" x14ac:dyDescent="0.3">
      <c r="E137"/>
    </row>
    <row r="138" spans="5:5" x14ac:dyDescent="0.3">
      <c r="E138"/>
    </row>
    <row r="139" spans="5:5" x14ac:dyDescent="0.3">
      <c r="E139"/>
    </row>
    <row r="140" spans="5:5" x14ac:dyDescent="0.3">
      <c r="E140"/>
    </row>
    <row r="141" spans="5:5" x14ac:dyDescent="0.3">
      <c r="E141"/>
    </row>
    <row r="142" spans="5:5" x14ac:dyDescent="0.3">
      <c r="E142"/>
    </row>
    <row r="143" spans="5:5" x14ac:dyDescent="0.3">
      <c r="E143"/>
    </row>
    <row r="144" spans="5:5" x14ac:dyDescent="0.3">
      <c r="E144"/>
    </row>
    <row r="145" spans="5:5" x14ac:dyDescent="0.3">
      <c r="E145"/>
    </row>
    <row r="146" spans="5:5" x14ac:dyDescent="0.3">
      <c r="E146"/>
    </row>
    <row r="147" spans="5:5" x14ac:dyDescent="0.3">
      <c r="E147"/>
    </row>
    <row r="148" spans="5:5" x14ac:dyDescent="0.3">
      <c r="E148"/>
    </row>
    <row r="149" spans="5:5" x14ac:dyDescent="0.3">
      <c r="E149"/>
    </row>
    <row r="150" spans="5:5" x14ac:dyDescent="0.3">
      <c r="E150"/>
    </row>
    <row r="151" spans="5:5" x14ac:dyDescent="0.3">
      <c r="E151"/>
    </row>
    <row r="152" spans="5:5" x14ac:dyDescent="0.3">
      <c r="E152"/>
    </row>
    <row r="153" spans="5:5" x14ac:dyDescent="0.3">
      <c r="E153"/>
    </row>
    <row r="154" spans="5:5" x14ac:dyDescent="0.3">
      <c r="E154"/>
    </row>
    <row r="155" spans="5:5" x14ac:dyDescent="0.3">
      <c r="E155"/>
    </row>
    <row r="156" spans="5:5" x14ac:dyDescent="0.3">
      <c r="E156"/>
    </row>
    <row r="157" spans="5:5" x14ac:dyDescent="0.3">
      <c r="E157"/>
    </row>
    <row r="158" spans="5:5" x14ac:dyDescent="0.3">
      <c r="E158"/>
    </row>
    <row r="159" spans="5:5" x14ac:dyDescent="0.3">
      <c r="E159"/>
    </row>
    <row r="160" spans="5:5" x14ac:dyDescent="0.3">
      <c r="E160"/>
    </row>
    <row r="161" spans="5:5" x14ac:dyDescent="0.3">
      <c r="E161"/>
    </row>
    <row r="162" spans="5:5" x14ac:dyDescent="0.3">
      <c r="E162"/>
    </row>
    <row r="163" spans="5:5" x14ac:dyDescent="0.3">
      <c r="E163"/>
    </row>
    <row r="164" spans="5:5" x14ac:dyDescent="0.3">
      <c r="E164"/>
    </row>
    <row r="165" spans="5:5" x14ac:dyDescent="0.3">
      <c r="E165"/>
    </row>
    <row r="166" spans="5:5" x14ac:dyDescent="0.3">
      <c r="E166"/>
    </row>
    <row r="167" spans="5:5" x14ac:dyDescent="0.3">
      <c r="E167"/>
    </row>
    <row r="168" spans="5:5" x14ac:dyDescent="0.3">
      <c r="E168"/>
    </row>
    <row r="169" spans="5:5" x14ac:dyDescent="0.3">
      <c r="E169"/>
    </row>
    <row r="170" spans="5:5" x14ac:dyDescent="0.3">
      <c r="E170"/>
    </row>
    <row r="171" spans="5:5" x14ac:dyDescent="0.3">
      <c r="E171"/>
    </row>
    <row r="172" spans="5:5" x14ac:dyDescent="0.3">
      <c r="E172"/>
    </row>
    <row r="173" spans="5:5" x14ac:dyDescent="0.3">
      <c r="E173"/>
    </row>
    <row r="174" spans="5:5" x14ac:dyDescent="0.3">
      <c r="E174"/>
    </row>
    <row r="175" spans="5:5" x14ac:dyDescent="0.3">
      <c r="E175"/>
    </row>
    <row r="176" spans="5:5" x14ac:dyDescent="0.3">
      <c r="E176"/>
    </row>
    <row r="177" spans="5:5" x14ac:dyDescent="0.3">
      <c r="E177"/>
    </row>
    <row r="178" spans="5:5" x14ac:dyDescent="0.3">
      <c r="E178"/>
    </row>
    <row r="179" spans="5:5" x14ac:dyDescent="0.3">
      <c r="E179"/>
    </row>
    <row r="180" spans="5:5" x14ac:dyDescent="0.3">
      <c r="E180"/>
    </row>
    <row r="181" spans="5:5" x14ac:dyDescent="0.3">
      <c r="E181"/>
    </row>
    <row r="182" spans="5:5" x14ac:dyDescent="0.3">
      <c r="E182"/>
    </row>
    <row r="183" spans="5:5" x14ac:dyDescent="0.3">
      <c r="E183"/>
    </row>
    <row r="184" spans="5:5" x14ac:dyDescent="0.3">
      <c r="E184"/>
    </row>
    <row r="185" spans="5:5" x14ac:dyDescent="0.3">
      <c r="E185"/>
    </row>
    <row r="186" spans="5:5" x14ac:dyDescent="0.3">
      <c r="E186"/>
    </row>
    <row r="187" spans="5:5" x14ac:dyDescent="0.3">
      <c r="E187"/>
    </row>
    <row r="188" spans="5:5" x14ac:dyDescent="0.3">
      <c r="E188"/>
    </row>
    <row r="189" spans="5:5" x14ac:dyDescent="0.3">
      <c r="E189"/>
    </row>
    <row r="190" spans="5:5" x14ac:dyDescent="0.3">
      <c r="E190"/>
    </row>
    <row r="191" spans="5:5" x14ac:dyDescent="0.3">
      <c r="E191"/>
    </row>
    <row r="192" spans="5:5" x14ac:dyDescent="0.3">
      <c r="E192"/>
    </row>
    <row r="193" spans="5:5" x14ac:dyDescent="0.3">
      <c r="E193"/>
    </row>
    <row r="194" spans="5:5" x14ac:dyDescent="0.3">
      <c r="E194"/>
    </row>
    <row r="195" spans="5:5" x14ac:dyDescent="0.3">
      <c r="E195"/>
    </row>
    <row r="196" spans="5:5" x14ac:dyDescent="0.3">
      <c r="E196"/>
    </row>
    <row r="197" spans="5:5" x14ac:dyDescent="0.3">
      <c r="E197"/>
    </row>
    <row r="198" spans="5:5" x14ac:dyDescent="0.3">
      <c r="E198"/>
    </row>
    <row r="199" spans="5:5" x14ac:dyDescent="0.3">
      <c r="E199"/>
    </row>
    <row r="200" spans="5:5" x14ac:dyDescent="0.3">
      <c r="E200"/>
    </row>
    <row r="201" spans="5:5" x14ac:dyDescent="0.3">
      <c r="E201"/>
    </row>
    <row r="202" spans="5:5" x14ac:dyDescent="0.3">
      <c r="E202"/>
    </row>
    <row r="203" spans="5:5" x14ac:dyDescent="0.3">
      <c r="E203"/>
    </row>
    <row r="204" spans="5:5" x14ac:dyDescent="0.3">
      <c r="E204"/>
    </row>
    <row r="205" spans="5:5" x14ac:dyDescent="0.3">
      <c r="E205"/>
    </row>
    <row r="206" spans="5:5" x14ac:dyDescent="0.3">
      <c r="E206"/>
    </row>
    <row r="207" spans="5:5" x14ac:dyDescent="0.3">
      <c r="E207"/>
    </row>
    <row r="208" spans="5:5" x14ac:dyDescent="0.3">
      <c r="E208"/>
    </row>
    <row r="209" spans="5:5" x14ac:dyDescent="0.3">
      <c r="E209"/>
    </row>
    <row r="210" spans="5:5" x14ac:dyDescent="0.3">
      <c r="E210"/>
    </row>
    <row r="211" spans="5:5" x14ac:dyDescent="0.3">
      <c r="E211"/>
    </row>
    <row r="212" spans="5:5" x14ac:dyDescent="0.3">
      <c r="E212"/>
    </row>
    <row r="213" spans="5:5" x14ac:dyDescent="0.3">
      <c r="E213"/>
    </row>
    <row r="214" spans="5:5" x14ac:dyDescent="0.3">
      <c r="E214"/>
    </row>
    <row r="215" spans="5:5" x14ac:dyDescent="0.3">
      <c r="E215"/>
    </row>
    <row r="216" spans="5:5" x14ac:dyDescent="0.3">
      <c r="E216"/>
    </row>
    <row r="217" spans="5:5" x14ac:dyDescent="0.3">
      <c r="E217"/>
    </row>
    <row r="218" spans="5:5" x14ac:dyDescent="0.3">
      <c r="E218"/>
    </row>
    <row r="219" spans="5:5" x14ac:dyDescent="0.3">
      <c r="E219"/>
    </row>
    <row r="220" spans="5:5" x14ac:dyDescent="0.3">
      <c r="E220"/>
    </row>
    <row r="221" spans="5:5" x14ac:dyDescent="0.3">
      <c r="E221"/>
    </row>
    <row r="222" spans="5:5" x14ac:dyDescent="0.3">
      <c r="E222"/>
    </row>
    <row r="223" spans="5:5" x14ac:dyDescent="0.3">
      <c r="E223"/>
    </row>
    <row r="224" spans="5:5" x14ac:dyDescent="0.3">
      <c r="E224"/>
    </row>
    <row r="225" spans="5:5" x14ac:dyDescent="0.3">
      <c r="E225"/>
    </row>
    <row r="226" spans="5:5" x14ac:dyDescent="0.3">
      <c r="E226"/>
    </row>
    <row r="227" spans="5:5" x14ac:dyDescent="0.3">
      <c r="E227"/>
    </row>
    <row r="228" spans="5:5" x14ac:dyDescent="0.3">
      <c r="E228"/>
    </row>
    <row r="229" spans="5:5" x14ac:dyDescent="0.3">
      <c r="E229"/>
    </row>
    <row r="230" spans="5:5" x14ac:dyDescent="0.3">
      <c r="E230"/>
    </row>
    <row r="231" spans="5:5" x14ac:dyDescent="0.3">
      <c r="E231"/>
    </row>
    <row r="232" spans="5:5" x14ac:dyDescent="0.3">
      <c r="E232"/>
    </row>
    <row r="233" spans="5:5" x14ac:dyDescent="0.3">
      <c r="E233"/>
    </row>
    <row r="234" spans="5:5" x14ac:dyDescent="0.3">
      <c r="E234"/>
    </row>
    <row r="235" spans="5:5" x14ac:dyDescent="0.3">
      <c r="E235"/>
    </row>
    <row r="236" spans="5:5" x14ac:dyDescent="0.3">
      <c r="E236"/>
    </row>
    <row r="237" spans="5:5" x14ac:dyDescent="0.3">
      <c r="E237"/>
    </row>
    <row r="238" spans="5:5" x14ac:dyDescent="0.3">
      <c r="E238"/>
    </row>
    <row r="239" spans="5:5" x14ac:dyDescent="0.3">
      <c r="E239"/>
    </row>
    <row r="240" spans="5:5" x14ac:dyDescent="0.3">
      <c r="E240"/>
    </row>
    <row r="241" spans="5:5" x14ac:dyDescent="0.3">
      <c r="E241"/>
    </row>
    <row r="242" spans="5:5" x14ac:dyDescent="0.3">
      <c r="E242"/>
    </row>
    <row r="243" spans="5:5" x14ac:dyDescent="0.3">
      <c r="E243"/>
    </row>
    <row r="244" spans="5:5" x14ac:dyDescent="0.3">
      <c r="E244"/>
    </row>
    <row r="245" spans="5:5" x14ac:dyDescent="0.3">
      <c r="E245"/>
    </row>
    <row r="246" spans="5:5" x14ac:dyDescent="0.3">
      <c r="E246"/>
    </row>
    <row r="247" spans="5:5" x14ac:dyDescent="0.3">
      <c r="E247"/>
    </row>
    <row r="248" spans="5:5" x14ac:dyDescent="0.3">
      <c r="E248"/>
    </row>
    <row r="249" spans="5:5" x14ac:dyDescent="0.3">
      <c r="E249"/>
    </row>
    <row r="250" spans="5:5" x14ac:dyDescent="0.3">
      <c r="E250"/>
    </row>
    <row r="251" spans="5:5" x14ac:dyDescent="0.3">
      <c r="E251"/>
    </row>
    <row r="252" spans="5:5" x14ac:dyDescent="0.3">
      <c r="E252"/>
    </row>
    <row r="253" spans="5:5" x14ac:dyDescent="0.3">
      <c r="E253"/>
    </row>
    <row r="254" spans="5:5" x14ac:dyDescent="0.3">
      <c r="E254"/>
    </row>
    <row r="255" spans="5:5" x14ac:dyDescent="0.3">
      <c r="E255"/>
    </row>
    <row r="256" spans="5:5" x14ac:dyDescent="0.3">
      <c r="E256"/>
    </row>
    <row r="257" spans="5:5" x14ac:dyDescent="0.3">
      <c r="E257"/>
    </row>
    <row r="258" spans="5:5" x14ac:dyDescent="0.3">
      <c r="E258"/>
    </row>
    <row r="259" spans="5:5" x14ac:dyDescent="0.3">
      <c r="E259"/>
    </row>
    <row r="260" spans="5:5" x14ac:dyDescent="0.3">
      <c r="E260"/>
    </row>
    <row r="261" spans="5:5" x14ac:dyDescent="0.3">
      <c r="E261"/>
    </row>
    <row r="262" spans="5:5" x14ac:dyDescent="0.3">
      <c r="E262"/>
    </row>
    <row r="263" spans="5:5" x14ac:dyDescent="0.3">
      <c r="E263"/>
    </row>
    <row r="264" spans="5:5" x14ac:dyDescent="0.3">
      <c r="E264"/>
    </row>
    <row r="265" spans="5:5" x14ac:dyDescent="0.3">
      <c r="E265"/>
    </row>
    <row r="266" spans="5:5" x14ac:dyDescent="0.3">
      <c r="E266"/>
    </row>
    <row r="267" spans="5:5" x14ac:dyDescent="0.3">
      <c r="E267"/>
    </row>
    <row r="268" spans="5:5" x14ac:dyDescent="0.3">
      <c r="E268"/>
    </row>
    <row r="269" spans="5:5" x14ac:dyDescent="0.3">
      <c r="E269"/>
    </row>
    <row r="270" spans="5:5" x14ac:dyDescent="0.3">
      <c r="E270"/>
    </row>
    <row r="271" spans="5:5" x14ac:dyDescent="0.3">
      <c r="E271"/>
    </row>
    <row r="272" spans="5:5" x14ac:dyDescent="0.3">
      <c r="E272"/>
    </row>
    <row r="273" spans="5:5" x14ac:dyDescent="0.3">
      <c r="E273"/>
    </row>
    <row r="274" spans="5:5" x14ac:dyDescent="0.3">
      <c r="E274"/>
    </row>
    <row r="275" spans="5:5" x14ac:dyDescent="0.3">
      <c r="E275"/>
    </row>
    <row r="276" spans="5:5" x14ac:dyDescent="0.3">
      <c r="E276"/>
    </row>
    <row r="277" spans="5:5" x14ac:dyDescent="0.3">
      <c r="E277"/>
    </row>
    <row r="278" spans="5:5" x14ac:dyDescent="0.3">
      <c r="E278"/>
    </row>
    <row r="279" spans="5:5" x14ac:dyDescent="0.3">
      <c r="E279"/>
    </row>
    <row r="280" spans="5:5" x14ac:dyDescent="0.3">
      <c r="E280"/>
    </row>
    <row r="281" spans="5:5" x14ac:dyDescent="0.3">
      <c r="E281"/>
    </row>
    <row r="282" spans="5:5" x14ac:dyDescent="0.3">
      <c r="E282"/>
    </row>
    <row r="283" spans="5:5" x14ac:dyDescent="0.3">
      <c r="E283"/>
    </row>
    <row r="284" spans="5:5" x14ac:dyDescent="0.3">
      <c r="E284"/>
    </row>
    <row r="285" spans="5:5" x14ac:dyDescent="0.3">
      <c r="E285"/>
    </row>
    <row r="286" spans="5:5" x14ac:dyDescent="0.3">
      <c r="E286"/>
    </row>
    <row r="287" spans="5:5" x14ac:dyDescent="0.3">
      <c r="E287"/>
    </row>
    <row r="288" spans="5:5" x14ac:dyDescent="0.3">
      <c r="E288"/>
    </row>
    <row r="289" spans="5:5" x14ac:dyDescent="0.3">
      <c r="E289"/>
    </row>
    <row r="290" spans="5:5" x14ac:dyDescent="0.3">
      <c r="E290"/>
    </row>
    <row r="291" spans="5:5" x14ac:dyDescent="0.3">
      <c r="E291"/>
    </row>
    <row r="292" spans="5:5" x14ac:dyDescent="0.3">
      <c r="E292"/>
    </row>
    <row r="293" spans="5:5" x14ac:dyDescent="0.3">
      <c r="E293"/>
    </row>
    <row r="294" spans="5:5" x14ac:dyDescent="0.3">
      <c r="E294"/>
    </row>
    <row r="295" spans="5:5" x14ac:dyDescent="0.3">
      <c r="E295"/>
    </row>
    <row r="296" spans="5:5" x14ac:dyDescent="0.3">
      <c r="E296"/>
    </row>
    <row r="297" spans="5:5" x14ac:dyDescent="0.3">
      <c r="E297"/>
    </row>
    <row r="298" spans="5:5" x14ac:dyDescent="0.3">
      <c r="E298"/>
    </row>
    <row r="299" spans="5:5" x14ac:dyDescent="0.3">
      <c r="E299"/>
    </row>
    <row r="300" spans="5:5" x14ac:dyDescent="0.3">
      <c r="E300"/>
    </row>
    <row r="301" spans="5:5" x14ac:dyDescent="0.3">
      <c r="E301"/>
    </row>
    <row r="302" spans="5:5" x14ac:dyDescent="0.3">
      <c r="E302"/>
    </row>
    <row r="303" spans="5:5" x14ac:dyDescent="0.3">
      <c r="E303"/>
    </row>
    <row r="304" spans="5:5" x14ac:dyDescent="0.3">
      <c r="E304"/>
    </row>
    <row r="305" spans="5:5" x14ac:dyDescent="0.3">
      <c r="E305"/>
    </row>
    <row r="306" spans="5:5" x14ac:dyDescent="0.3">
      <c r="E306"/>
    </row>
    <row r="307" spans="5:5" x14ac:dyDescent="0.3">
      <c r="E307"/>
    </row>
    <row r="308" spans="5:5" x14ac:dyDescent="0.3">
      <c r="E308"/>
    </row>
    <row r="309" spans="5:5" x14ac:dyDescent="0.3">
      <c r="E309"/>
    </row>
    <row r="310" spans="5:5" x14ac:dyDescent="0.3">
      <c r="E310"/>
    </row>
    <row r="311" spans="5:5" x14ac:dyDescent="0.3">
      <c r="E311"/>
    </row>
    <row r="312" spans="5:5" x14ac:dyDescent="0.3">
      <c r="E312"/>
    </row>
    <row r="313" spans="5:5" x14ac:dyDescent="0.3">
      <c r="E313"/>
    </row>
    <row r="314" spans="5:5" x14ac:dyDescent="0.3">
      <c r="E314"/>
    </row>
    <row r="315" spans="5:5" x14ac:dyDescent="0.3">
      <c r="E315"/>
    </row>
    <row r="316" spans="5:5" x14ac:dyDescent="0.3">
      <c r="E316"/>
    </row>
    <row r="317" spans="5:5" x14ac:dyDescent="0.3">
      <c r="E317"/>
    </row>
    <row r="318" spans="5:5" x14ac:dyDescent="0.3">
      <c r="E318"/>
    </row>
    <row r="319" spans="5:5" x14ac:dyDescent="0.3">
      <c r="E319"/>
    </row>
    <row r="320" spans="5:5" x14ac:dyDescent="0.3">
      <c r="E320"/>
    </row>
    <row r="321" spans="5:5" x14ac:dyDescent="0.3">
      <c r="E321"/>
    </row>
    <row r="322" spans="5:5" x14ac:dyDescent="0.3">
      <c r="E322"/>
    </row>
    <row r="323" spans="5:5" x14ac:dyDescent="0.3">
      <c r="E323"/>
    </row>
    <row r="324" spans="5:5" x14ac:dyDescent="0.3">
      <c r="E324"/>
    </row>
    <row r="325" spans="5:5" x14ac:dyDescent="0.3">
      <c r="E325"/>
    </row>
    <row r="326" spans="5:5" x14ac:dyDescent="0.3">
      <c r="E326"/>
    </row>
    <row r="327" spans="5:5" x14ac:dyDescent="0.3">
      <c r="E327"/>
    </row>
    <row r="328" spans="5:5" x14ac:dyDescent="0.3">
      <c r="E328"/>
    </row>
    <row r="329" spans="5:5" x14ac:dyDescent="0.3">
      <c r="E329"/>
    </row>
    <row r="330" spans="5:5" x14ac:dyDescent="0.3">
      <c r="E330"/>
    </row>
    <row r="331" spans="5:5" x14ac:dyDescent="0.3">
      <c r="E331"/>
    </row>
    <row r="332" spans="5:5" x14ac:dyDescent="0.3">
      <c r="E332"/>
    </row>
    <row r="333" spans="5:5" x14ac:dyDescent="0.3">
      <c r="E333"/>
    </row>
    <row r="334" spans="5:5" x14ac:dyDescent="0.3">
      <c r="E334"/>
    </row>
    <row r="335" spans="5:5" x14ac:dyDescent="0.3">
      <c r="E335"/>
    </row>
    <row r="336" spans="5:5" x14ac:dyDescent="0.3">
      <c r="E336"/>
    </row>
    <row r="337" spans="5:5" x14ac:dyDescent="0.3">
      <c r="E337"/>
    </row>
    <row r="338" spans="5:5" x14ac:dyDescent="0.3">
      <c r="E338"/>
    </row>
    <row r="339" spans="5:5" x14ac:dyDescent="0.3">
      <c r="E339"/>
    </row>
    <row r="340" spans="5:5" x14ac:dyDescent="0.3">
      <c r="E340"/>
    </row>
    <row r="341" spans="5:5" x14ac:dyDescent="0.3">
      <c r="E341"/>
    </row>
    <row r="342" spans="5:5" x14ac:dyDescent="0.3">
      <c r="E342"/>
    </row>
    <row r="343" spans="5:5" x14ac:dyDescent="0.3">
      <c r="E343"/>
    </row>
    <row r="344" spans="5:5" x14ac:dyDescent="0.3">
      <c r="E344"/>
    </row>
    <row r="345" spans="5:5" x14ac:dyDescent="0.3">
      <c r="E345"/>
    </row>
    <row r="346" spans="5:5" x14ac:dyDescent="0.3">
      <c r="E346"/>
    </row>
    <row r="347" spans="5:5" x14ac:dyDescent="0.3">
      <c r="E347"/>
    </row>
    <row r="348" spans="5:5" x14ac:dyDescent="0.3">
      <c r="E348"/>
    </row>
    <row r="349" spans="5:5" x14ac:dyDescent="0.3">
      <c r="E349"/>
    </row>
    <row r="350" spans="5:5" x14ac:dyDescent="0.3">
      <c r="E350"/>
    </row>
    <row r="351" spans="5:5" x14ac:dyDescent="0.3">
      <c r="E351"/>
    </row>
    <row r="352" spans="5:5" x14ac:dyDescent="0.3">
      <c r="E352"/>
    </row>
    <row r="353" spans="5:5" x14ac:dyDescent="0.3">
      <c r="E353"/>
    </row>
    <row r="354" spans="5:5" x14ac:dyDescent="0.3">
      <c r="E354"/>
    </row>
    <row r="355" spans="5:5" x14ac:dyDescent="0.3">
      <c r="E355"/>
    </row>
    <row r="356" spans="5:5" x14ac:dyDescent="0.3">
      <c r="E356"/>
    </row>
    <row r="357" spans="5:5" x14ac:dyDescent="0.3">
      <c r="E357"/>
    </row>
    <row r="358" spans="5:5" x14ac:dyDescent="0.3">
      <c r="E358"/>
    </row>
    <row r="359" spans="5:5" x14ac:dyDescent="0.3">
      <c r="E359"/>
    </row>
    <row r="360" spans="5:5" x14ac:dyDescent="0.3">
      <c r="E360"/>
    </row>
    <row r="361" spans="5:5" x14ac:dyDescent="0.3">
      <c r="E361"/>
    </row>
    <row r="362" spans="5:5" x14ac:dyDescent="0.3">
      <c r="E362"/>
    </row>
    <row r="363" spans="5:5" x14ac:dyDescent="0.3">
      <c r="E363"/>
    </row>
  </sheetData>
  <pageMargins left="0.511811024" right="0.511811024" top="0.78740157499999996" bottom="0.78740157499999996" header="0.31496062000000002" footer="0.31496062000000002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342AA-A898-45F3-A54D-D8B1121A20C1}">
  <dimension ref="A1:R80"/>
  <sheetViews>
    <sheetView workbookViewId="0">
      <selection activeCell="A2" sqref="A2:XFD1610"/>
    </sheetView>
  </sheetViews>
  <sheetFormatPr defaultRowHeight="14.4" x14ac:dyDescent="0.3"/>
  <cols>
    <col min="1" max="1" width="22" bestFit="1" customWidth="1"/>
    <col min="2" max="2" width="11.77734375" bestFit="1" customWidth="1"/>
    <col min="3" max="3" width="16.44140625" bestFit="1" customWidth="1"/>
    <col min="4" max="4" width="7.44140625" bestFit="1" customWidth="1"/>
    <col min="5" max="5" width="6.88671875" bestFit="1" customWidth="1"/>
    <col min="6" max="6" width="8.33203125" bestFit="1" customWidth="1"/>
    <col min="7" max="7" width="6.33203125" bestFit="1" customWidth="1"/>
    <col min="8" max="8" width="7.88671875" bestFit="1" customWidth="1"/>
    <col min="9" max="9" width="13" bestFit="1" customWidth="1"/>
    <col min="10" max="10" width="25.44140625" customWidth="1"/>
    <col min="11" max="11" width="19.88671875" bestFit="1" customWidth="1"/>
    <col min="12" max="12" width="15.33203125" customWidth="1"/>
    <col min="13" max="13" width="80.88671875" bestFit="1" customWidth="1"/>
    <col min="14" max="14" width="10.77734375" bestFit="1" customWidth="1"/>
    <col min="15" max="16" width="10.77734375" customWidth="1"/>
    <col min="17" max="17" width="40.88671875" bestFit="1" customWidth="1"/>
    <col min="18" max="18" width="14.5546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303</v>
      </c>
      <c r="P1" t="s">
        <v>304</v>
      </c>
      <c r="Q1" t="s">
        <v>14</v>
      </c>
      <c r="R1" t="s">
        <v>185</v>
      </c>
    </row>
    <row r="2" spans="1:18" x14ac:dyDescent="0.3">
      <c r="A2" t="s">
        <v>46</v>
      </c>
      <c r="B2" s="1">
        <v>45832</v>
      </c>
      <c r="C2" s="1">
        <v>45840</v>
      </c>
      <c r="D2" t="s">
        <v>16</v>
      </c>
      <c r="E2">
        <v>2025</v>
      </c>
      <c r="F2">
        <v>6</v>
      </c>
      <c r="G2">
        <v>24</v>
      </c>
      <c r="H2">
        <v>26</v>
      </c>
      <c r="I2" s="7">
        <v>1</v>
      </c>
      <c r="J2" t="s">
        <v>67</v>
      </c>
      <c r="K2" t="s">
        <v>68</v>
      </c>
      <c r="L2" t="s">
        <v>23</v>
      </c>
      <c r="M2" t="s">
        <v>103</v>
      </c>
      <c r="N2" s="7">
        <v>157</v>
      </c>
      <c r="O2" s="7">
        <f>ApprovedTimeReport_000_202567__1[[#This Row],[CostRate]]/0.9075</f>
        <v>173.00275482093664</v>
      </c>
      <c r="P2" s="7">
        <f>ApprovedTimeReport_000_202567__1[[#This Row],[CostRate w/ Taxes]]*ApprovedTimeReport_000_202567__1[[#This Row],[Time Actual]]</f>
        <v>173.00275482093664</v>
      </c>
      <c r="Q2" t="s">
        <v>47</v>
      </c>
      <c r="R2" s="2" t="str">
        <f>VLOOKUP(A:A,Vlookup!A:B,2,0)</f>
        <v>FF</v>
      </c>
    </row>
    <row r="3" spans="1:18" x14ac:dyDescent="0.3">
      <c r="A3" t="s">
        <v>27</v>
      </c>
      <c r="B3" s="1">
        <v>45811</v>
      </c>
      <c r="C3" s="1">
        <v>45817</v>
      </c>
      <c r="D3" t="s">
        <v>16</v>
      </c>
      <c r="E3">
        <v>2025</v>
      </c>
      <c r="F3">
        <v>6</v>
      </c>
      <c r="G3">
        <v>3</v>
      </c>
      <c r="H3">
        <v>23</v>
      </c>
      <c r="I3" s="7">
        <v>1</v>
      </c>
      <c r="J3" t="s">
        <v>67</v>
      </c>
      <c r="K3" t="s">
        <v>68</v>
      </c>
      <c r="L3" t="s">
        <v>23</v>
      </c>
      <c r="M3" t="s">
        <v>174</v>
      </c>
      <c r="N3" s="7">
        <v>157</v>
      </c>
      <c r="O3" s="7">
        <f>ApprovedTimeReport_000_202567__1[[#This Row],[CostRate]]/0.9075</f>
        <v>173.00275482093664</v>
      </c>
      <c r="P3" s="7">
        <f>ApprovedTimeReport_000_202567__1[[#This Row],[CostRate w/ Taxes]]*ApprovedTimeReport_000_202567__1[[#This Row],[Time Actual]]</f>
        <v>173.00275482093664</v>
      </c>
      <c r="Q3" t="s">
        <v>28</v>
      </c>
      <c r="R3" s="2" t="str">
        <f>VLOOKUP(A:A,Vlookup!A:B,2,0)</f>
        <v>FF</v>
      </c>
    </row>
    <row r="4" spans="1:18" x14ac:dyDescent="0.3">
      <c r="A4" t="s">
        <v>27</v>
      </c>
      <c r="B4" s="1">
        <v>45812</v>
      </c>
      <c r="C4" s="1">
        <v>45817</v>
      </c>
      <c r="D4" t="s">
        <v>16</v>
      </c>
      <c r="E4">
        <v>2025</v>
      </c>
      <c r="F4">
        <v>6</v>
      </c>
      <c r="G4">
        <v>4</v>
      </c>
      <c r="H4">
        <v>23</v>
      </c>
      <c r="I4" s="7">
        <v>4</v>
      </c>
      <c r="J4" t="s">
        <v>67</v>
      </c>
      <c r="K4" t="s">
        <v>68</v>
      </c>
      <c r="L4" t="s">
        <v>23</v>
      </c>
      <c r="M4" t="s">
        <v>168</v>
      </c>
      <c r="N4" s="7">
        <v>157</v>
      </c>
      <c r="O4" s="7">
        <f>ApprovedTimeReport_000_202567__1[[#This Row],[CostRate]]/0.9075</f>
        <v>173.00275482093664</v>
      </c>
      <c r="P4" s="7">
        <f>ApprovedTimeReport_000_202567__1[[#This Row],[CostRate w/ Taxes]]*ApprovedTimeReport_000_202567__1[[#This Row],[Time Actual]]</f>
        <v>692.01101928374658</v>
      </c>
      <c r="Q4" t="s">
        <v>28</v>
      </c>
      <c r="R4" s="2" t="str">
        <f>VLOOKUP(A:A,Vlookup!A:B,2,0)</f>
        <v>FF</v>
      </c>
    </row>
    <row r="5" spans="1:18" x14ac:dyDescent="0.3">
      <c r="A5" t="s">
        <v>27</v>
      </c>
      <c r="B5" s="1">
        <v>45814</v>
      </c>
      <c r="C5" s="1">
        <v>45817</v>
      </c>
      <c r="D5" t="s">
        <v>16</v>
      </c>
      <c r="E5">
        <v>2025</v>
      </c>
      <c r="F5">
        <v>6</v>
      </c>
      <c r="G5">
        <v>6</v>
      </c>
      <c r="H5">
        <v>23</v>
      </c>
      <c r="I5" s="7">
        <v>1</v>
      </c>
      <c r="J5" t="s">
        <v>67</v>
      </c>
      <c r="K5" t="s">
        <v>68</v>
      </c>
      <c r="L5" t="s">
        <v>23</v>
      </c>
      <c r="M5" t="s">
        <v>161</v>
      </c>
      <c r="N5" s="7">
        <v>157</v>
      </c>
      <c r="O5" s="7">
        <f>ApprovedTimeReport_000_202567__1[[#This Row],[CostRate]]/0.9075</f>
        <v>173.00275482093664</v>
      </c>
      <c r="P5" s="7">
        <f>ApprovedTimeReport_000_202567__1[[#This Row],[CostRate w/ Taxes]]*ApprovedTimeReport_000_202567__1[[#This Row],[Time Actual]]</f>
        <v>173.00275482093664</v>
      </c>
      <c r="Q5" t="s">
        <v>28</v>
      </c>
      <c r="R5" s="2" t="str">
        <f>VLOOKUP(A:A,Vlookup!A:B,2,0)</f>
        <v>FF</v>
      </c>
    </row>
    <row r="6" spans="1:18" x14ac:dyDescent="0.3">
      <c r="A6" t="s">
        <v>27</v>
      </c>
      <c r="B6" s="1">
        <v>45819</v>
      </c>
      <c r="C6" s="1">
        <v>45825</v>
      </c>
      <c r="D6" t="s">
        <v>16</v>
      </c>
      <c r="E6">
        <v>2025</v>
      </c>
      <c r="F6">
        <v>6</v>
      </c>
      <c r="G6">
        <v>11</v>
      </c>
      <c r="H6">
        <v>24</v>
      </c>
      <c r="I6" s="7">
        <v>2</v>
      </c>
      <c r="J6" t="s">
        <v>67</v>
      </c>
      <c r="K6" t="s">
        <v>68</v>
      </c>
      <c r="L6" t="s">
        <v>23</v>
      </c>
      <c r="M6" t="s">
        <v>145</v>
      </c>
      <c r="N6" s="7">
        <v>157</v>
      </c>
      <c r="O6" s="7">
        <f>ApprovedTimeReport_000_202567__1[[#This Row],[CostRate]]/0.9075</f>
        <v>173.00275482093664</v>
      </c>
      <c r="P6" s="7">
        <f>ApprovedTimeReport_000_202567__1[[#This Row],[CostRate w/ Taxes]]*ApprovedTimeReport_000_202567__1[[#This Row],[Time Actual]]</f>
        <v>346.00550964187329</v>
      </c>
      <c r="Q6" t="s">
        <v>28</v>
      </c>
      <c r="R6" s="2" t="str">
        <f>VLOOKUP(A:A,Vlookup!A:B,2,0)</f>
        <v>FF</v>
      </c>
    </row>
    <row r="7" spans="1:18" x14ac:dyDescent="0.3">
      <c r="A7" t="s">
        <v>27</v>
      </c>
      <c r="B7" s="1">
        <v>45821</v>
      </c>
      <c r="C7" s="1">
        <v>45825</v>
      </c>
      <c r="D7" t="s">
        <v>16</v>
      </c>
      <c r="E7">
        <v>2025</v>
      </c>
      <c r="F7">
        <v>6</v>
      </c>
      <c r="G7">
        <v>13</v>
      </c>
      <c r="H7">
        <v>24</v>
      </c>
      <c r="I7" s="7">
        <v>1</v>
      </c>
      <c r="J7" t="s">
        <v>67</v>
      </c>
      <c r="K7" t="s">
        <v>68</v>
      </c>
      <c r="L7" t="s">
        <v>23</v>
      </c>
      <c r="M7" t="s">
        <v>135</v>
      </c>
      <c r="N7" s="7">
        <v>157</v>
      </c>
      <c r="O7" s="7">
        <f>ApprovedTimeReport_000_202567__1[[#This Row],[CostRate]]/0.9075</f>
        <v>173.00275482093664</v>
      </c>
      <c r="P7" s="7">
        <f>ApprovedTimeReport_000_202567__1[[#This Row],[CostRate w/ Taxes]]*ApprovedTimeReport_000_202567__1[[#This Row],[Time Actual]]</f>
        <v>173.00275482093664</v>
      </c>
      <c r="Q7" t="s">
        <v>28</v>
      </c>
      <c r="R7" s="2" t="str">
        <f>VLOOKUP(A:A,Vlookup!A:B,2,0)</f>
        <v>FF</v>
      </c>
    </row>
    <row r="8" spans="1:18" x14ac:dyDescent="0.3">
      <c r="A8" t="s">
        <v>27</v>
      </c>
      <c r="B8" s="1">
        <v>45826</v>
      </c>
      <c r="C8" s="1">
        <v>45831</v>
      </c>
      <c r="D8" t="s">
        <v>16</v>
      </c>
      <c r="E8">
        <v>2025</v>
      </c>
      <c r="F8">
        <v>6</v>
      </c>
      <c r="G8">
        <v>18</v>
      </c>
      <c r="H8">
        <v>25</v>
      </c>
      <c r="I8" s="7">
        <v>2</v>
      </c>
      <c r="J8" t="s">
        <v>67</v>
      </c>
      <c r="K8" t="s">
        <v>68</v>
      </c>
      <c r="L8" t="s">
        <v>23</v>
      </c>
      <c r="M8" t="s">
        <v>118</v>
      </c>
      <c r="N8" s="7">
        <v>157</v>
      </c>
      <c r="O8" s="7">
        <f>ApprovedTimeReport_000_202567__1[[#This Row],[CostRate]]/0.9075</f>
        <v>173.00275482093664</v>
      </c>
      <c r="P8" s="7">
        <f>ApprovedTimeReport_000_202567__1[[#This Row],[CostRate w/ Taxes]]*ApprovedTimeReport_000_202567__1[[#This Row],[Time Actual]]</f>
        <v>346.00550964187329</v>
      </c>
      <c r="Q8" t="s">
        <v>28</v>
      </c>
      <c r="R8" s="2" t="str">
        <f>VLOOKUP(A:A,Vlookup!A:B,2,0)</f>
        <v>FF</v>
      </c>
    </row>
    <row r="9" spans="1:18" x14ac:dyDescent="0.3">
      <c r="A9" t="s">
        <v>27</v>
      </c>
      <c r="B9" s="1">
        <v>45828</v>
      </c>
      <c r="C9" s="1">
        <v>45831</v>
      </c>
      <c r="D9" t="s">
        <v>16</v>
      </c>
      <c r="E9">
        <v>2025</v>
      </c>
      <c r="F9">
        <v>6</v>
      </c>
      <c r="G9">
        <v>20</v>
      </c>
      <c r="H9">
        <v>25</v>
      </c>
      <c r="I9" s="7">
        <v>2</v>
      </c>
      <c r="J9" t="s">
        <v>67</v>
      </c>
      <c r="K9" t="s">
        <v>68</v>
      </c>
      <c r="L9" t="s">
        <v>23</v>
      </c>
      <c r="M9" t="s">
        <v>112</v>
      </c>
      <c r="N9" s="7">
        <v>157</v>
      </c>
      <c r="O9" s="7">
        <f>ApprovedTimeReport_000_202567__1[[#This Row],[CostRate]]/0.9075</f>
        <v>173.00275482093664</v>
      </c>
      <c r="P9" s="7">
        <f>ApprovedTimeReport_000_202567__1[[#This Row],[CostRate w/ Taxes]]*ApprovedTimeReport_000_202567__1[[#This Row],[Time Actual]]</f>
        <v>346.00550964187329</v>
      </c>
      <c r="Q9" t="s">
        <v>28</v>
      </c>
      <c r="R9" s="2" t="str">
        <f>VLOOKUP(A:A,Vlookup!A:B,2,0)</f>
        <v>FF</v>
      </c>
    </row>
    <row r="10" spans="1:18" x14ac:dyDescent="0.3">
      <c r="A10" t="s">
        <v>27</v>
      </c>
      <c r="B10" s="1">
        <v>45833</v>
      </c>
      <c r="C10" s="1">
        <v>45840</v>
      </c>
      <c r="D10" t="s">
        <v>16</v>
      </c>
      <c r="E10">
        <v>2025</v>
      </c>
      <c r="F10">
        <v>6</v>
      </c>
      <c r="G10">
        <v>25</v>
      </c>
      <c r="H10">
        <v>26</v>
      </c>
      <c r="I10" s="7">
        <v>3</v>
      </c>
      <c r="J10" t="s">
        <v>67</v>
      </c>
      <c r="K10" t="s">
        <v>68</v>
      </c>
      <c r="L10" t="s">
        <v>23</v>
      </c>
      <c r="M10" t="s">
        <v>99</v>
      </c>
      <c r="N10" s="7">
        <v>157</v>
      </c>
      <c r="O10" s="7">
        <f>ApprovedTimeReport_000_202567__1[[#This Row],[CostRate]]/0.9075</f>
        <v>173.00275482093664</v>
      </c>
      <c r="P10" s="7">
        <f>ApprovedTimeReport_000_202567__1[[#This Row],[CostRate w/ Taxes]]*ApprovedTimeReport_000_202567__1[[#This Row],[Time Actual]]</f>
        <v>519.00826446280996</v>
      </c>
      <c r="Q10" t="s">
        <v>28</v>
      </c>
      <c r="R10" s="2" t="str">
        <f>VLOOKUP(A:A,Vlookup!A:B,2,0)</f>
        <v>FF</v>
      </c>
    </row>
    <row r="11" spans="1:18" x14ac:dyDescent="0.3">
      <c r="A11" t="s">
        <v>27</v>
      </c>
      <c r="B11" s="1">
        <v>45835</v>
      </c>
      <c r="C11" s="1">
        <v>45840</v>
      </c>
      <c r="D11" t="s">
        <v>16</v>
      </c>
      <c r="E11">
        <v>2025</v>
      </c>
      <c r="F11">
        <v>6</v>
      </c>
      <c r="G11">
        <v>27</v>
      </c>
      <c r="H11">
        <v>26</v>
      </c>
      <c r="I11" s="7">
        <v>1</v>
      </c>
      <c r="J11" t="s">
        <v>67</v>
      </c>
      <c r="K11" t="s">
        <v>68</v>
      </c>
      <c r="L11" t="s">
        <v>23</v>
      </c>
      <c r="M11" t="s">
        <v>75</v>
      </c>
      <c r="N11" s="7">
        <v>157</v>
      </c>
      <c r="O11" s="7">
        <f>ApprovedTimeReport_000_202567__1[[#This Row],[CostRate]]/0.9075</f>
        <v>173.00275482093664</v>
      </c>
      <c r="P11" s="7">
        <f>ApprovedTimeReport_000_202567__1[[#This Row],[CostRate w/ Taxes]]*ApprovedTimeReport_000_202567__1[[#This Row],[Time Actual]]</f>
        <v>173.00275482093664</v>
      </c>
      <c r="Q11" t="s">
        <v>28</v>
      </c>
      <c r="R11" s="2" t="str">
        <f>VLOOKUP(A:A,Vlookup!A:B,2,0)</f>
        <v>FF</v>
      </c>
    </row>
    <row r="12" spans="1:18" x14ac:dyDescent="0.3">
      <c r="A12" t="s">
        <v>60</v>
      </c>
      <c r="B12" s="1">
        <v>45833</v>
      </c>
      <c r="C12" s="1">
        <v>45839</v>
      </c>
      <c r="D12" t="s">
        <v>16</v>
      </c>
      <c r="E12">
        <v>2025</v>
      </c>
      <c r="F12">
        <v>6</v>
      </c>
      <c r="G12">
        <v>25</v>
      </c>
      <c r="H12">
        <v>26</v>
      </c>
      <c r="I12" s="7">
        <v>1</v>
      </c>
      <c r="J12" t="s">
        <v>67</v>
      </c>
      <c r="K12" t="s">
        <v>68</v>
      </c>
      <c r="L12" t="s">
        <v>23</v>
      </c>
      <c r="M12" t="s">
        <v>100</v>
      </c>
      <c r="N12" s="7">
        <v>157</v>
      </c>
      <c r="O12" s="7">
        <f>ApprovedTimeReport_000_202567__1[[#This Row],[CostRate]]/0.9075</f>
        <v>173.00275482093664</v>
      </c>
      <c r="P12" s="7">
        <f>ApprovedTimeReport_000_202567__1[[#This Row],[CostRate w/ Taxes]]*ApprovedTimeReport_000_202567__1[[#This Row],[Time Actual]]</f>
        <v>173.00275482093664</v>
      </c>
      <c r="Q12" t="s">
        <v>61</v>
      </c>
      <c r="R12" s="2" t="str">
        <f>VLOOKUP(A:A,Vlookup!A:B,2,0)</f>
        <v>FF</v>
      </c>
    </row>
    <row r="13" spans="1:18" x14ac:dyDescent="0.3">
      <c r="A13" t="s">
        <v>91</v>
      </c>
      <c r="B13" s="1">
        <v>45812</v>
      </c>
      <c r="C13" s="1">
        <v>45817</v>
      </c>
      <c r="D13" t="s">
        <v>16</v>
      </c>
      <c r="E13">
        <v>2025</v>
      </c>
      <c r="F13">
        <v>6</v>
      </c>
      <c r="G13">
        <v>4</v>
      </c>
      <c r="H13">
        <v>23</v>
      </c>
      <c r="I13" s="7">
        <v>1</v>
      </c>
      <c r="J13" t="s">
        <v>67</v>
      </c>
      <c r="K13" t="s">
        <v>68</v>
      </c>
      <c r="L13" t="s">
        <v>23</v>
      </c>
      <c r="M13" t="s">
        <v>169</v>
      </c>
      <c r="N13" s="7">
        <v>157</v>
      </c>
      <c r="O13" s="7">
        <f>ApprovedTimeReport_000_202567__1[[#This Row],[CostRate]]/0.9075</f>
        <v>173.00275482093664</v>
      </c>
      <c r="P13" s="7">
        <f>ApprovedTimeReport_000_202567__1[[#This Row],[CostRate w/ Taxes]]*ApprovedTimeReport_000_202567__1[[#This Row],[Time Actual]]</f>
        <v>173.00275482093664</v>
      </c>
      <c r="Q13" t="s">
        <v>54</v>
      </c>
      <c r="R13" s="2" t="str">
        <f>VLOOKUP(A:A,Vlookup!A:B,2,0)</f>
        <v>T&amp;M</v>
      </c>
    </row>
    <row r="14" spans="1:18" x14ac:dyDescent="0.3">
      <c r="A14" t="s">
        <v>63</v>
      </c>
      <c r="B14" s="1">
        <v>45812</v>
      </c>
      <c r="C14" s="1">
        <v>45817</v>
      </c>
      <c r="D14" t="s">
        <v>16</v>
      </c>
      <c r="E14">
        <v>2025</v>
      </c>
      <c r="F14">
        <v>6</v>
      </c>
      <c r="G14">
        <v>4</v>
      </c>
      <c r="H14">
        <v>23</v>
      </c>
      <c r="I14" s="7">
        <v>1</v>
      </c>
      <c r="J14" t="s">
        <v>67</v>
      </c>
      <c r="K14" t="s">
        <v>68</v>
      </c>
      <c r="L14" t="s">
        <v>23</v>
      </c>
      <c r="M14" t="s">
        <v>167</v>
      </c>
      <c r="N14" s="7">
        <v>157</v>
      </c>
      <c r="O14" s="7">
        <f>ApprovedTimeReport_000_202567__1[[#This Row],[CostRate]]/0.9075</f>
        <v>173.00275482093664</v>
      </c>
      <c r="P14" s="7">
        <f>ApprovedTimeReport_000_202567__1[[#This Row],[CostRate w/ Taxes]]*ApprovedTimeReport_000_202567__1[[#This Row],[Time Actual]]</f>
        <v>173.00275482093664</v>
      </c>
      <c r="Q14" t="s">
        <v>64</v>
      </c>
      <c r="R14" s="2" t="str">
        <f>VLOOKUP(A:A,Vlookup!A:B,2,0)</f>
        <v>FF</v>
      </c>
    </row>
    <row r="15" spans="1:18" x14ac:dyDescent="0.3">
      <c r="A15" t="s">
        <v>63</v>
      </c>
      <c r="B15" s="1">
        <v>45819</v>
      </c>
      <c r="C15" s="1">
        <v>45825</v>
      </c>
      <c r="D15" t="s">
        <v>16</v>
      </c>
      <c r="E15">
        <v>2025</v>
      </c>
      <c r="F15">
        <v>6</v>
      </c>
      <c r="G15">
        <v>11</v>
      </c>
      <c r="H15">
        <v>24</v>
      </c>
      <c r="I15" s="7">
        <v>1</v>
      </c>
      <c r="J15" t="s">
        <v>67</v>
      </c>
      <c r="K15" t="s">
        <v>68</v>
      </c>
      <c r="L15" t="s">
        <v>23</v>
      </c>
      <c r="M15" t="s">
        <v>142</v>
      </c>
      <c r="N15" s="7">
        <v>157</v>
      </c>
      <c r="O15" s="7">
        <f>ApprovedTimeReport_000_202567__1[[#This Row],[CostRate]]/0.9075</f>
        <v>173.00275482093664</v>
      </c>
      <c r="P15" s="7">
        <f>ApprovedTimeReport_000_202567__1[[#This Row],[CostRate w/ Taxes]]*ApprovedTimeReport_000_202567__1[[#This Row],[Time Actual]]</f>
        <v>173.00275482093664</v>
      </c>
      <c r="Q15" t="s">
        <v>64</v>
      </c>
      <c r="R15" s="2" t="str">
        <f>VLOOKUP(A:A,Vlookup!A:B,2,0)</f>
        <v>FF</v>
      </c>
    </row>
    <row r="16" spans="1:18" x14ac:dyDescent="0.3">
      <c r="A16" t="s">
        <v>63</v>
      </c>
      <c r="B16" s="1">
        <v>45825</v>
      </c>
      <c r="C16" s="1">
        <v>45831</v>
      </c>
      <c r="D16" t="s">
        <v>16</v>
      </c>
      <c r="E16">
        <v>2025</v>
      </c>
      <c r="F16">
        <v>6</v>
      </c>
      <c r="G16">
        <v>17</v>
      </c>
      <c r="H16">
        <v>25</v>
      </c>
      <c r="I16" s="7">
        <v>1</v>
      </c>
      <c r="J16" t="s">
        <v>67</v>
      </c>
      <c r="K16" t="s">
        <v>68</v>
      </c>
      <c r="L16" t="s">
        <v>23</v>
      </c>
      <c r="M16" t="s">
        <v>122</v>
      </c>
      <c r="N16" s="7">
        <v>157</v>
      </c>
      <c r="O16" s="7">
        <f>ApprovedTimeReport_000_202567__1[[#This Row],[CostRate]]/0.9075</f>
        <v>173.00275482093664</v>
      </c>
      <c r="P16" s="7">
        <f>ApprovedTimeReport_000_202567__1[[#This Row],[CostRate w/ Taxes]]*ApprovedTimeReport_000_202567__1[[#This Row],[Time Actual]]</f>
        <v>173.00275482093664</v>
      </c>
      <c r="Q16" t="s">
        <v>64</v>
      </c>
      <c r="R16" s="2" t="str">
        <f>VLOOKUP(A:A,Vlookup!A:B,2,0)</f>
        <v>FF</v>
      </c>
    </row>
    <row r="17" spans="1:18" x14ac:dyDescent="0.3">
      <c r="A17" t="s">
        <v>63</v>
      </c>
      <c r="B17" s="1">
        <v>45831</v>
      </c>
      <c r="C17" s="1">
        <v>45839</v>
      </c>
      <c r="D17" t="s">
        <v>16</v>
      </c>
      <c r="E17">
        <v>2025</v>
      </c>
      <c r="F17">
        <v>6</v>
      </c>
      <c r="G17">
        <v>23</v>
      </c>
      <c r="H17">
        <v>26</v>
      </c>
      <c r="I17" s="7">
        <v>1</v>
      </c>
      <c r="J17" t="s">
        <v>67</v>
      </c>
      <c r="K17" t="s">
        <v>68</v>
      </c>
      <c r="L17" t="s">
        <v>23</v>
      </c>
      <c r="M17" t="s">
        <v>110</v>
      </c>
      <c r="N17" s="7">
        <v>157</v>
      </c>
      <c r="O17" s="7">
        <f>ApprovedTimeReport_000_202567__1[[#This Row],[CostRate]]/0.9075</f>
        <v>173.00275482093664</v>
      </c>
      <c r="P17" s="7">
        <f>ApprovedTimeReport_000_202567__1[[#This Row],[CostRate w/ Taxes]]*ApprovedTimeReport_000_202567__1[[#This Row],[Time Actual]]</f>
        <v>173.00275482093664</v>
      </c>
      <c r="Q17" t="s">
        <v>64</v>
      </c>
      <c r="R17" s="2" t="str">
        <f>VLOOKUP(A:A,Vlookup!A:B,2,0)</f>
        <v>FF</v>
      </c>
    </row>
    <row r="18" spans="1:18" x14ac:dyDescent="0.3">
      <c r="A18" t="s">
        <v>30</v>
      </c>
      <c r="B18" s="1">
        <v>45811</v>
      </c>
      <c r="C18" s="1">
        <v>45817</v>
      </c>
      <c r="D18" t="s">
        <v>16</v>
      </c>
      <c r="E18">
        <v>2025</v>
      </c>
      <c r="F18">
        <v>6</v>
      </c>
      <c r="G18">
        <v>3</v>
      </c>
      <c r="H18">
        <v>23</v>
      </c>
      <c r="I18" s="7">
        <v>1</v>
      </c>
      <c r="J18" t="s">
        <v>67</v>
      </c>
      <c r="K18" t="s">
        <v>68</v>
      </c>
      <c r="L18" t="s">
        <v>23</v>
      </c>
      <c r="M18" t="s">
        <v>173</v>
      </c>
      <c r="N18" s="7">
        <v>99.83</v>
      </c>
      <c r="O18" s="7">
        <v>110</v>
      </c>
      <c r="P18" s="7">
        <f>ApprovedTimeReport_000_202567__1[[#This Row],[CostRate w/ Taxes]]*ApprovedTimeReport_000_202567__1[[#This Row],[Time Actual]]</f>
        <v>110</v>
      </c>
      <c r="Q18" t="s">
        <v>17</v>
      </c>
      <c r="R18" s="2" t="str">
        <f>VLOOKUP(A:A,Vlookup!A:B,2,0)</f>
        <v>NB</v>
      </c>
    </row>
    <row r="19" spans="1:18" x14ac:dyDescent="0.3">
      <c r="A19" t="s">
        <v>30</v>
      </c>
      <c r="B19" s="1">
        <v>45818</v>
      </c>
      <c r="C19" s="1">
        <v>45825</v>
      </c>
      <c r="D19" t="s">
        <v>16</v>
      </c>
      <c r="E19">
        <v>2025</v>
      </c>
      <c r="F19">
        <v>6</v>
      </c>
      <c r="G19">
        <v>10</v>
      </c>
      <c r="H19">
        <v>24</v>
      </c>
      <c r="I19" s="7">
        <v>1</v>
      </c>
      <c r="J19" t="s">
        <v>67</v>
      </c>
      <c r="K19" t="s">
        <v>68</v>
      </c>
      <c r="L19" t="s">
        <v>23</v>
      </c>
      <c r="M19" t="s">
        <v>153</v>
      </c>
      <c r="N19" s="7">
        <v>99.83</v>
      </c>
      <c r="O19" s="7">
        <v>110</v>
      </c>
      <c r="P19" s="7">
        <f>ApprovedTimeReport_000_202567__1[[#This Row],[CostRate w/ Taxes]]*ApprovedTimeReport_000_202567__1[[#This Row],[Time Actual]]</f>
        <v>110</v>
      </c>
      <c r="Q19" t="s">
        <v>17</v>
      </c>
      <c r="R19" s="2" t="str">
        <f>VLOOKUP(A:A,Vlookup!A:B,2,0)</f>
        <v>NB</v>
      </c>
    </row>
    <row r="20" spans="1:18" x14ac:dyDescent="0.3">
      <c r="A20" t="s">
        <v>30</v>
      </c>
      <c r="B20" s="1">
        <v>45819</v>
      </c>
      <c r="C20" s="1">
        <v>45825</v>
      </c>
      <c r="D20" t="s">
        <v>16</v>
      </c>
      <c r="E20">
        <v>2025</v>
      </c>
      <c r="F20">
        <v>6</v>
      </c>
      <c r="G20">
        <v>11</v>
      </c>
      <c r="H20">
        <v>24</v>
      </c>
      <c r="I20" s="7">
        <v>1</v>
      </c>
      <c r="J20" t="s">
        <v>67</v>
      </c>
      <c r="K20" t="s">
        <v>68</v>
      </c>
      <c r="L20" t="s">
        <v>23</v>
      </c>
      <c r="M20" t="s">
        <v>147</v>
      </c>
      <c r="N20" s="7">
        <v>99.83</v>
      </c>
      <c r="O20" s="7">
        <v>110</v>
      </c>
      <c r="P20" s="7">
        <f>ApprovedTimeReport_000_202567__1[[#This Row],[CostRate w/ Taxes]]*ApprovedTimeReport_000_202567__1[[#This Row],[Time Actual]]</f>
        <v>110</v>
      </c>
      <c r="Q20" t="s">
        <v>17</v>
      </c>
      <c r="R20" s="2" t="str">
        <f>VLOOKUP(A:A,Vlookup!A:B,2,0)</f>
        <v>NB</v>
      </c>
    </row>
    <row r="21" spans="1:18" x14ac:dyDescent="0.3">
      <c r="A21" t="s">
        <v>66</v>
      </c>
      <c r="B21" s="1">
        <v>45810</v>
      </c>
      <c r="C21" s="1">
        <v>45817</v>
      </c>
      <c r="D21" t="s">
        <v>16</v>
      </c>
      <c r="E21">
        <v>2025</v>
      </c>
      <c r="F21">
        <v>6</v>
      </c>
      <c r="G21">
        <v>2</v>
      </c>
      <c r="H21">
        <v>23</v>
      </c>
      <c r="I21" s="7">
        <v>3</v>
      </c>
      <c r="J21" t="s">
        <v>67</v>
      </c>
      <c r="K21" t="s">
        <v>68</v>
      </c>
      <c r="L21" t="s">
        <v>23</v>
      </c>
      <c r="M21" t="s">
        <v>180</v>
      </c>
      <c r="N21" s="7">
        <v>99.83</v>
      </c>
      <c r="O21" s="7">
        <v>110</v>
      </c>
      <c r="P21" s="7">
        <f>ApprovedTimeReport_000_202567__1[[#This Row],[CostRate w/ Taxes]]*ApprovedTimeReport_000_202567__1[[#This Row],[Time Actual]]</f>
        <v>330</v>
      </c>
      <c r="Q21" t="s">
        <v>17</v>
      </c>
      <c r="R21" s="2" t="str">
        <f>VLOOKUP(A:A,Vlookup!A:B,2,0)</f>
        <v>NB</v>
      </c>
    </row>
    <row r="22" spans="1:18" x14ac:dyDescent="0.3">
      <c r="A22" t="s">
        <v>66</v>
      </c>
      <c r="B22" s="1">
        <v>45811</v>
      </c>
      <c r="C22" s="1">
        <v>45817</v>
      </c>
      <c r="D22" t="s">
        <v>16</v>
      </c>
      <c r="E22">
        <v>2025</v>
      </c>
      <c r="F22">
        <v>6</v>
      </c>
      <c r="G22">
        <v>3</v>
      </c>
      <c r="H22">
        <v>23</v>
      </c>
      <c r="I22" s="7">
        <v>2</v>
      </c>
      <c r="J22" t="s">
        <v>67</v>
      </c>
      <c r="K22" t="s">
        <v>68</v>
      </c>
      <c r="L22" t="s">
        <v>23</v>
      </c>
      <c r="M22" t="s">
        <v>171</v>
      </c>
      <c r="N22" s="7">
        <v>99.83</v>
      </c>
      <c r="O22" s="7">
        <v>110</v>
      </c>
      <c r="P22" s="7">
        <f>ApprovedTimeReport_000_202567__1[[#This Row],[CostRate w/ Taxes]]*ApprovedTimeReport_000_202567__1[[#This Row],[Time Actual]]</f>
        <v>220</v>
      </c>
      <c r="Q22" t="s">
        <v>17</v>
      </c>
      <c r="R22" s="2" t="str">
        <f>VLOOKUP(A:A,Vlookup!A:B,2,0)</f>
        <v>NB</v>
      </c>
    </row>
    <row r="23" spans="1:18" x14ac:dyDescent="0.3">
      <c r="A23" t="s">
        <v>66</v>
      </c>
      <c r="B23" s="1">
        <v>45813</v>
      </c>
      <c r="C23" s="1">
        <v>45817</v>
      </c>
      <c r="D23" t="s">
        <v>16</v>
      </c>
      <c r="E23">
        <v>2025</v>
      </c>
      <c r="F23">
        <v>6</v>
      </c>
      <c r="G23">
        <v>5</v>
      </c>
      <c r="H23">
        <v>23</v>
      </c>
      <c r="I23" s="7">
        <v>2</v>
      </c>
      <c r="J23" t="s">
        <v>67</v>
      </c>
      <c r="K23" t="s">
        <v>68</v>
      </c>
      <c r="L23" t="s">
        <v>23</v>
      </c>
      <c r="M23" t="s">
        <v>165</v>
      </c>
      <c r="N23" s="7">
        <v>99.83</v>
      </c>
      <c r="O23" s="7">
        <v>110</v>
      </c>
      <c r="P23" s="7">
        <f>ApprovedTimeReport_000_202567__1[[#This Row],[CostRate w/ Taxes]]*ApprovedTimeReport_000_202567__1[[#This Row],[Time Actual]]</f>
        <v>220</v>
      </c>
      <c r="Q23" t="s">
        <v>17</v>
      </c>
      <c r="R23" s="2" t="str">
        <f>VLOOKUP(A:A,Vlookup!A:B,2,0)</f>
        <v>NB</v>
      </c>
    </row>
    <row r="24" spans="1:18" x14ac:dyDescent="0.3">
      <c r="A24" t="s">
        <v>66</v>
      </c>
      <c r="B24" s="1">
        <v>45814</v>
      </c>
      <c r="C24" s="1">
        <v>45817</v>
      </c>
      <c r="D24" t="s">
        <v>16</v>
      </c>
      <c r="E24">
        <v>2025</v>
      </c>
      <c r="F24">
        <v>6</v>
      </c>
      <c r="G24">
        <v>6</v>
      </c>
      <c r="H24">
        <v>23</v>
      </c>
      <c r="I24" s="7">
        <v>4</v>
      </c>
      <c r="J24" t="s">
        <v>67</v>
      </c>
      <c r="K24" t="s">
        <v>68</v>
      </c>
      <c r="L24" t="s">
        <v>23</v>
      </c>
      <c r="M24" t="s">
        <v>160</v>
      </c>
      <c r="N24" s="7">
        <v>99.83</v>
      </c>
      <c r="O24" s="7">
        <v>110</v>
      </c>
      <c r="P24" s="7">
        <f>ApprovedTimeReport_000_202567__1[[#This Row],[CostRate w/ Taxes]]*ApprovedTimeReport_000_202567__1[[#This Row],[Time Actual]]</f>
        <v>440</v>
      </c>
      <c r="Q24" t="s">
        <v>17</v>
      </c>
      <c r="R24" s="2" t="str">
        <f>VLOOKUP(A:A,Vlookup!A:B,2,0)</f>
        <v>NB</v>
      </c>
    </row>
    <row r="25" spans="1:18" x14ac:dyDescent="0.3">
      <c r="A25" t="s">
        <v>66</v>
      </c>
      <c r="B25" s="1">
        <v>45817</v>
      </c>
      <c r="C25" s="1">
        <v>45824</v>
      </c>
      <c r="D25" t="s">
        <v>16</v>
      </c>
      <c r="E25">
        <v>2025</v>
      </c>
      <c r="F25">
        <v>6</v>
      </c>
      <c r="G25">
        <v>9</v>
      </c>
      <c r="H25">
        <v>24</v>
      </c>
      <c r="I25" s="7">
        <v>2</v>
      </c>
      <c r="J25" t="s">
        <v>67</v>
      </c>
      <c r="K25" t="s">
        <v>68</v>
      </c>
      <c r="L25" t="s">
        <v>23</v>
      </c>
      <c r="M25" t="s">
        <v>155</v>
      </c>
      <c r="N25" s="7">
        <v>99.83</v>
      </c>
      <c r="O25" s="7">
        <v>110</v>
      </c>
      <c r="P25" s="7">
        <f>ApprovedTimeReport_000_202567__1[[#This Row],[CostRate w/ Taxes]]*ApprovedTimeReport_000_202567__1[[#This Row],[Time Actual]]</f>
        <v>220</v>
      </c>
      <c r="Q25" t="s">
        <v>17</v>
      </c>
      <c r="R25" s="2" t="str">
        <f>VLOOKUP(A:A,Vlookup!A:B,2,0)</f>
        <v>NB</v>
      </c>
    </row>
    <row r="26" spans="1:18" x14ac:dyDescent="0.3">
      <c r="A26" t="s">
        <v>66</v>
      </c>
      <c r="B26" s="1">
        <v>45818</v>
      </c>
      <c r="C26" s="1">
        <v>45825</v>
      </c>
      <c r="D26" t="s">
        <v>16</v>
      </c>
      <c r="E26">
        <v>2025</v>
      </c>
      <c r="F26">
        <v>6</v>
      </c>
      <c r="G26">
        <v>10</v>
      </c>
      <c r="H26">
        <v>24</v>
      </c>
      <c r="I26" s="7">
        <v>2</v>
      </c>
      <c r="J26" t="s">
        <v>67</v>
      </c>
      <c r="K26" t="s">
        <v>68</v>
      </c>
      <c r="L26" t="s">
        <v>23</v>
      </c>
      <c r="M26" t="s">
        <v>149</v>
      </c>
      <c r="N26" s="7">
        <v>99.83</v>
      </c>
      <c r="O26" s="7">
        <v>110</v>
      </c>
      <c r="P26" s="7">
        <f>ApprovedTimeReport_000_202567__1[[#This Row],[CostRate w/ Taxes]]*ApprovedTimeReport_000_202567__1[[#This Row],[Time Actual]]</f>
        <v>220</v>
      </c>
      <c r="Q26" t="s">
        <v>17</v>
      </c>
      <c r="R26" s="2" t="str">
        <f>VLOOKUP(A:A,Vlookup!A:B,2,0)</f>
        <v>NB</v>
      </c>
    </row>
    <row r="27" spans="1:18" x14ac:dyDescent="0.3">
      <c r="A27" t="s">
        <v>66</v>
      </c>
      <c r="B27" s="1">
        <v>45820</v>
      </c>
      <c r="C27" s="1">
        <v>45825</v>
      </c>
      <c r="D27" t="s">
        <v>16</v>
      </c>
      <c r="E27">
        <v>2025</v>
      </c>
      <c r="F27">
        <v>6</v>
      </c>
      <c r="G27">
        <v>12</v>
      </c>
      <c r="H27">
        <v>24</v>
      </c>
      <c r="I27" s="7">
        <v>2</v>
      </c>
      <c r="J27" t="s">
        <v>67</v>
      </c>
      <c r="K27" t="s">
        <v>68</v>
      </c>
      <c r="L27" t="s">
        <v>23</v>
      </c>
      <c r="M27" t="s">
        <v>136</v>
      </c>
      <c r="N27" s="7">
        <v>99.83</v>
      </c>
      <c r="O27" s="7">
        <v>110</v>
      </c>
      <c r="P27" s="7">
        <f>ApprovedTimeReport_000_202567__1[[#This Row],[CostRate w/ Taxes]]*ApprovedTimeReport_000_202567__1[[#This Row],[Time Actual]]</f>
        <v>220</v>
      </c>
      <c r="Q27" t="s">
        <v>17</v>
      </c>
      <c r="R27" s="2" t="str">
        <f>VLOOKUP(A:A,Vlookup!A:B,2,0)</f>
        <v>NB</v>
      </c>
    </row>
    <row r="28" spans="1:18" x14ac:dyDescent="0.3">
      <c r="A28" t="s">
        <v>66</v>
      </c>
      <c r="B28" s="1">
        <v>45821</v>
      </c>
      <c r="C28" s="1">
        <v>45825</v>
      </c>
      <c r="D28" t="s">
        <v>16</v>
      </c>
      <c r="E28">
        <v>2025</v>
      </c>
      <c r="F28">
        <v>6</v>
      </c>
      <c r="G28">
        <v>13</v>
      </c>
      <c r="H28">
        <v>24</v>
      </c>
      <c r="I28" s="7">
        <v>3</v>
      </c>
      <c r="J28" t="s">
        <v>67</v>
      </c>
      <c r="K28" t="s">
        <v>68</v>
      </c>
      <c r="L28" t="s">
        <v>23</v>
      </c>
      <c r="M28" t="s">
        <v>134</v>
      </c>
      <c r="N28" s="7">
        <v>99.83</v>
      </c>
      <c r="O28" s="7">
        <v>110</v>
      </c>
      <c r="P28" s="7">
        <f>ApprovedTimeReport_000_202567__1[[#This Row],[CostRate w/ Taxes]]*ApprovedTimeReport_000_202567__1[[#This Row],[Time Actual]]</f>
        <v>330</v>
      </c>
      <c r="Q28" t="s">
        <v>17</v>
      </c>
      <c r="R28" s="2" t="str">
        <f>VLOOKUP(A:A,Vlookup!A:B,2,0)</f>
        <v>NB</v>
      </c>
    </row>
    <row r="29" spans="1:18" x14ac:dyDescent="0.3">
      <c r="A29" t="s">
        <v>66</v>
      </c>
      <c r="B29" s="1">
        <v>45824</v>
      </c>
      <c r="C29" s="1">
        <v>45831</v>
      </c>
      <c r="D29" t="s">
        <v>16</v>
      </c>
      <c r="E29">
        <v>2025</v>
      </c>
      <c r="F29">
        <v>6</v>
      </c>
      <c r="G29">
        <v>16</v>
      </c>
      <c r="H29">
        <v>25</v>
      </c>
      <c r="I29" s="7">
        <v>2</v>
      </c>
      <c r="J29" t="s">
        <v>67</v>
      </c>
      <c r="K29" t="s">
        <v>68</v>
      </c>
      <c r="L29" t="s">
        <v>23</v>
      </c>
      <c r="M29" t="s">
        <v>127</v>
      </c>
      <c r="N29" s="7">
        <v>99.83</v>
      </c>
      <c r="O29" s="7">
        <v>110</v>
      </c>
      <c r="P29" s="7">
        <f>ApprovedTimeReport_000_202567__1[[#This Row],[CostRate w/ Taxes]]*ApprovedTimeReport_000_202567__1[[#This Row],[Time Actual]]</f>
        <v>220</v>
      </c>
      <c r="Q29" t="s">
        <v>17</v>
      </c>
      <c r="R29" s="2" t="str">
        <f>VLOOKUP(A:A,Vlookup!A:B,2,0)</f>
        <v>NB</v>
      </c>
    </row>
    <row r="30" spans="1:18" x14ac:dyDescent="0.3">
      <c r="A30" t="s">
        <v>66</v>
      </c>
      <c r="B30" s="1">
        <v>45825</v>
      </c>
      <c r="C30" s="1">
        <v>45831</v>
      </c>
      <c r="D30" t="s">
        <v>16</v>
      </c>
      <c r="E30">
        <v>2025</v>
      </c>
      <c r="F30">
        <v>6</v>
      </c>
      <c r="G30">
        <v>17</v>
      </c>
      <c r="H30">
        <v>25</v>
      </c>
      <c r="I30" s="7">
        <v>3</v>
      </c>
      <c r="J30" t="s">
        <v>67</v>
      </c>
      <c r="K30" t="s">
        <v>68</v>
      </c>
      <c r="L30" t="s">
        <v>23</v>
      </c>
      <c r="M30" t="s">
        <v>125</v>
      </c>
      <c r="N30" s="7">
        <v>99.83</v>
      </c>
      <c r="O30" s="7">
        <v>110</v>
      </c>
      <c r="P30" s="7">
        <f>ApprovedTimeReport_000_202567__1[[#This Row],[CostRate w/ Taxes]]*ApprovedTimeReport_000_202567__1[[#This Row],[Time Actual]]</f>
        <v>330</v>
      </c>
      <c r="Q30" t="s">
        <v>17</v>
      </c>
      <c r="R30" s="2" t="str">
        <f>VLOOKUP(A:A,Vlookup!A:B,2,0)</f>
        <v>NB</v>
      </c>
    </row>
    <row r="31" spans="1:18" x14ac:dyDescent="0.3">
      <c r="A31" t="s">
        <v>66</v>
      </c>
      <c r="B31" s="1">
        <v>45828</v>
      </c>
      <c r="C31" s="1">
        <v>45831</v>
      </c>
      <c r="D31" t="s">
        <v>16</v>
      </c>
      <c r="E31">
        <v>2025</v>
      </c>
      <c r="F31">
        <v>6</v>
      </c>
      <c r="G31">
        <v>20</v>
      </c>
      <c r="H31">
        <v>25</v>
      </c>
      <c r="I31" s="7">
        <v>2</v>
      </c>
      <c r="J31" t="s">
        <v>67</v>
      </c>
      <c r="K31" t="s">
        <v>68</v>
      </c>
      <c r="L31" t="s">
        <v>23</v>
      </c>
      <c r="M31" t="s">
        <v>113</v>
      </c>
      <c r="N31" s="7">
        <v>99.83</v>
      </c>
      <c r="O31" s="7">
        <v>110</v>
      </c>
      <c r="P31" s="7">
        <f>ApprovedTimeReport_000_202567__1[[#This Row],[CostRate w/ Taxes]]*ApprovedTimeReport_000_202567__1[[#This Row],[Time Actual]]</f>
        <v>220</v>
      </c>
      <c r="Q31" t="s">
        <v>17</v>
      </c>
      <c r="R31" s="2" t="str">
        <f>VLOOKUP(A:A,Vlookup!A:B,2,0)</f>
        <v>NB</v>
      </c>
    </row>
    <row r="32" spans="1:18" x14ac:dyDescent="0.3">
      <c r="A32" t="s">
        <v>66</v>
      </c>
      <c r="B32" s="1">
        <v>45831</v>
      </c>
      <c r="C32" s="1">
        <v>45839</v>
      </c>
      <c r="D32" t="s">
        <v>16</v>
      </c>
      <c r="E32">
        <v>2025</v>
      </c>
      <c r="F32">
        <v>6</v>
      </c>
      <c r="G32">
        <v>23</v>
      </c>
      <c r="H32">
        <v>26</v>
      </c>
      <c r="I32" s="7">
        <v>3</v>
      </c>
      <c r="J32" t="s">
        <v>67</v>
      </c>
      <c r="K32" t="s">
        <v>68</v>
      </c>
      <c r="L32" t="s">
        <v>23</v>
      </c>
      <c r="M32" t="s">
        <v>109</v>
      </c>
      <c r="N32" s="7">
        <v>99.83</v>
      </c>
      <c r="O32" s="7">
        <v>110</v>
      </c>
      <c r="P32" s="7">
        <f>ApprovedTimeReport_000_202567__1[[#This Row],[CostRate w/ Taxes]]*ApprovedTimeReport_000_202567__1[[#This Row],[Time Actual]]</f>
        <v>330</v>
      </c>
      <c r="Q32" t="s">
        <v>17</v>
      </c>
      <c r="R32" s="2" t="str">
        <f>VLOOKUP(A:A,Vlookup!A:B,2,0)</f>
        <v>NB</v>
      </c>
    </row>
    <row r="33" spans="1:18" x14ac:dyDescent="0.3">
      <c r="A33" t="s">
        <v>66</v>
      </c>
      <c r="B33" s="1">
        <v>45832</v>
      </c>
      <c r="C33" s="1">
        <v>45840</v>
      </c>
      <c r="D33" t="s">
        <v>16</v>
      </c>
      <c r="E33">
        <v>2025</v>
      </c>
      <c r="F33">
        <v>6</v>
      </c>
      <c r="G33">
        <v>24</v>
      </c>
      <c r="H33">
        <v>26</v>
      </c>
      <c r="I33" s="7">
        <v>2</v>
      </c>
      <c r="J33" t="s">
        <v>67</v>
      </c>
      <c r="K33" t="s">
        <v>68</v>
      </c>
      <c r="L33" t="s">
        <v>23</v>
      </c>
      <c r="M33" t="s">
        <v>106</v>
      </c>
      <c r="N33" s="7">
        <v>99.83</v>
      </c>
      <c r="O33" s="7">
        <v>110</v>
      </c>
      <c r="P33" s="7">
        <f>ApprovedTimeReport_000_202567__1[[#This Row],[CostRate w/ Taxes]]*ApprovedTimeReport_000_202567__1[[#This Row],[Time Actual]]</f>
        <v>220</v>
      </c>
      <c r="Q33" t="s">
        <v>17</v>
      </c>
      <c r="R33" s="2" t="str">
        <f>VLOOKUP(A:A,Vlookup!A:B,2,0)</f>
        <v>NB</v>
      </c>
    </row>
    <row r="34" spans="1:18" x14ac:dyDescent="0.3">
      <c r="A34" t="s">
        <v>66</v>
      </c>
      <c r="B34" s="1">
        <v>45833</v>
      </c>
      <c r="C34" s="1">
        <v>45840</v>
      </c>
      <c r="D34" t="s">
        <v>16</v>
      </c>
      <c r="E34">
        <v>2025</v>
      </c>
      <c r="F34">
        <v>6</v>
      </c>
      <c r="G34">
        <v>25</v>
      </c>
      <c r="H34">
        <v>26</v>
      </c>
      <c r="I34" s="7">
        <v>2</v>
      </c>
      <c r="J34" t="s">
        <v>67</v>
      </c>
      <c r="K34" t="s">
        <v>68</v>
      </c>
      <c r="L34" t="s">
        <v>23</v>
      </c>
      <c r="M34" t="s">
        <v>97</v>
      </c>
      <c r="N34" s="7">
        <v>99.83</v>
      </c>
      <c r="O34" s="7">
        <v>110</v>
      </c>
      <c r="P34" s="7">
        <f>ApprovedTimeReport_000_202567__1[[#This Row],[CostRate w/ Taxes]]*ApprovedTimeReport_000_202567__1[[#This Row],[Time Actual]]</f>
        <v>220</v>
      </c>
      <c r="Q34" t="s">
        <v>17</v>
      </c>
      <c r="R34" s="2" t="str">
        <f>VLOOKUP(A:A,Vlookup!A:B,2,0)</f>
        <v>NB</v>
      </c>
    </row>
    <row r="35" spans="1:18" x14ac:dyDescent="0.3">
      <c r="A35" t="s">
        <v>66</v>
      </c>
      <c r="B35" s="1">
        <v>45834</v>
      </c>
      <c r="C35" s="1">
        <v>45840</v>
      </c>
      <c r="D35" t="s">
        <v>16</v>
      </c>
      <c r="E35">
        <v>2025</v>
      </c>
      <c r="F35">
        <v>6</v>
      </c>
      <c r="G35">
        <v>26</v>
      </c>
      <c r="H35">
        <v>26</v>
      </c>
      <c r="I35" s="7">
        <v>2</v>
      </c>
      <c r="J35" t="s">
        <v>67</v>
      </c>
      <c r="K35" t="s">
        <v>68</v>
      </c>
      <c r="L35" t="s">
        <v>23</v>
      </c>
      <c r="M35" t="s">
        <v>90</v>
      </c>
      <c r="N35" s="7">
        <v>99.83</v>
      </c>
      <c r="O35" s="7">
        <v>110</v>
      </c>
      <c r="P35" s="7">
        <f>ApprovedTimeReport_000_202567__1[[#This Row],[CostRate w/ Taxes]]*ApprovedTimeReport_000_202567__1[[#This Row],[Time Actual]]</f>
        <v>220</v>
      </c>
      <c r="Q35" t="s">
        <v>17</v>
      </c>
      <c r="R35" s="2" t="str">
        <f>VLOOKUP(A:A,Vlookup!A:B,2,0)</f>
        <v>NB</v>
      </c>
    </row>
    <row r="36" spans="1:18" x14ac:dyDescent="0.3">
      <c r="A36" t="s">
        <v>66</v>
      </c>
      <c r="B36" s="1">
        <v>45835</v>
      </c>
      <c r="C36" s="1">
        <v>45840</v>
      </c>
      <c r="D36" t="s">
        <v>16</v>
      </c>
      <c r="E36">
        <v>2025</v>
      </c>
      <c r="F36">
        <v>6</v>
      </c>
      <c r="G36">
        <v>27</v>
      </c>
      <c r="H36">
        <v>26</v>
      </c>
      <c r="I36" s="7">
        <v>1</v>
      </c>
      <c r="J36" t="s">
        <v>67</v>
      </c>
      <c r="K36" t="s">
        <v>68</v>
      </c>
      <c r="L36" t="s">
        <v>23</v>
      </c>
      <c r="M36" t="s">
        <v>69</v>
      </c>
      <c r="N36" s="7">
        <v>99.83</v>
      </c>
      <c r="O36" s="7">
        <v>110</v>
      </c>
      <c r="P36" s="7">
        <f>ApprovedTimeReport_000_202567__1[[#This Row],[CostRate w/ Taxes]]*ApprovedTimeReport_000_202567__1[[#This Row],[Time Actual]]</f>
        <v>110</v>
      </c>
      <c r="Q36" t="s">
        <v>17</v>
      </c>
      <c r="R36" s="2" t="str">
        <f>VLOOKUP(A:A,Vlookup!A:B,2,0)</f>
        <v>NB</v>
      </c>
    </row>
    <row r="37" spans="1:18" x14ac:dyDescent="0.3">
      <c r="A37" t="s">
        <v>72</v>
      </c>
      <c r="B37" s="1">
        <v>45813</v>
      </c>
      <c r="C37" s="1">
        <v>45817</v>
      </c>
      <c r="D37" t="s">
        <v>16</v>
      </c>
      <c r="E37">
        <v>2025</v>
      </c>
      <c r="F37">
        <v>6</v>
      </c>
      <c r="G37">
        <v>5</v>
      </c>
      <c r="H37">
        <v>23</v>
      </c>
      <c r="I37" s="7">
        <v>2</v>
      </c>
      <c r="J37" t="s">
        <v>67</v>
      </c>
      <c r="K37" t="s">
        <v>68</v>
      </c>
      <c r="L37" t="s">
        <v>23</v>
      </c>
      <c r="M37" t="s">
        <v>163</v>
      </c>
      <c r="N37" s="7">
        <v>99.83</v>
      </c>
      <c r="O37" s="7">
        <v>110</v>
      </c>
      <c r="P37" s="7">
        <f>ApprovedTimeReport_000_202567__1[[#This Row],[CostRate w/ Taxes]]*ApprovedTimeReport_000_202567__1[[#This Row],[Time Actual]]</f>
        <v>220</v>
      </c>
      <c r="Q37" t="s">
        <v>17</v>
      </c>
      <c r="R37" s="2" t="str">
        <f>VLOOKUP(A:A,Vlookup!A:B,2,0)</f>
        <v>NB</v>
      </c>
    </row>
    <row r="38" spans="1:18" x14ac:dyDescent="0.3">
      <c r="A38" t="s">
        <v>72</v>
      </c>
      <c r="B38" s="1">
        <v>45817</v>
      </c>
      <c r="C38" s="1">
        <v>45824</v>
      </c>
      <c r="D38" t="s">
        <v>16</v>
      </c>
      <c r="E38">
        <v>2025</v>
      </c>
      <c r="F38">
        <v>6</v>
      </c>
      <c r="G38">
        <v>9</v>
      </c>
      <c r="H38">
        <v>24</v>
      </c>
      <c r="I38" s="7">
        <v>2</v>
      </c>
      <c r="J38" t="s">
        <v>67</v>
      </c>
      <c r="K38" t="s">
        <v>68</v>
      </c>
      <c r="L38" t="s">
        <v>23</v>
      </c>
      <c r="M38" t="s">
        <v>156</v>
      </c>
      <c r="N38" s="7">
        <v>99.83</v>
      </c>
      <c r="O38" s="7">
        <v>110</v>
      </c>
      <c r="P38" s="7">
        <f>ApprovedTimeReport_000_202567__1[[#This Row],[CostRate w/ Taxes]]*ApprovedTimeReport_000_202567__1[[#This Row],[Time Actual]]</f>
        <v>220</v>
      </c>
      <c r="Q38" t="s">
        <v>17</v>
      </c>
      <c r="R38" s="2" t="str">
        <f>VLOOKUP(A:A,Vlookup!A:B,2,0)</f>
        <v>NB</v>
      </c>
    </row>
    <row r="39" spans="1:18" x14ac:dyDescent="0.3">
      <c r="A39" t="s">
        <v>72</v>
      </c>
      <c r="B39" s="1">
        <v>45819</v>
      </c>
      <c r="C39" s="1">
        <v>45825</v>
      </c>
      <c r="D39" t="s">
        <v>16</v>
      </c>
      <c r="E39">
        <v>2025</v>
      </c>
      <c r="F39">
        <v>6</v>
      </c>
      <c r="G39">
        <v>11</v>
      </c>
      <c r="H39">
        <v>24</v>
      </c>
      <c r="I39" s="7">
        <v>1</v>
      </c>
      <c r="J39" t="s">
        <v>67</v>
      </c>
      <c r="K39" t="s">
        <v>68</v>
      </c>
      <c r="L39" t="s">
        <v>23</v>
      </c>
      <c r="M39" t="s">
        <v>146</v>
      </c>
      <c r="N39" s="7">
        <v>99.83</v>
      </c>
      <c r="O39" s="7">
        <v>110</v>
      </c>
      <c r="P39" s="7">
        <f>ApprovedTimeReport_000_202567__1[[#This Row],[CostRate w/ Taxes]]*ApprovedTimeReport_000_202567__1[[#This Row],[Time Actual]]</f>
        <v>110</v>
      </c>
      <c r="Q39" t="s">
        <v>17</v>
      </c>
      <c r="R39" s="2" t="str">
        <f>VLOOKUP(A:A,Vlookup!A:B,2,0)</f>
        <v>NB</v>
      </c>
    </row>
    <row r="40" spans="1:18" x14ac:dyDescent="0.3">
      <c r="A40" t="s">
        <v>72</v>
      </c>
      <c r="B40" s="1">
        <v>45820</v>
      </c>
      <c r="C40" s="1">
        <v>45825</v>
      </c>
      <c r="D40" t="s">
        <v>16</v>
      </c>
      <c r="E40">
        <v>2025</v>
      </c>
      <c r="F40">
        <v>6</v>
      </c>
      <c r="G40">
        <v>12</v>
      </c>
      <c r="H40">
        <v>24</v>
      </c>
      <c r="I40" s="7">
        <v>2</v>
      </c>
      <c r="J40" t="s">
        <v>67</v>
      </c>
      <c r="K40" t="s">
        <v>68</v>
      </c>
      <c r="L40" t="s">
        <v>23</v>
      </c>
      <c r="M40" t="s">
        <v>137</v>
      </c>
      <c r="N40" s="7">
        <v>99.83</v>
      </c>
      <c r="O40" s="7">
        <v>110</v>
      </c>
      <c r="P40" s="7">
        <f>ApprovedTimeReport_000_202567__1[[#This Row],[CostRate w/ Taxes]]*ApprovedTimeReport_000_202567__1[[#This Row],[Time Actual]]</f>
        <v>220</v>
      </c>
      <c r="Q40" t="s">
        <v>17</v>
      </c>
      <c r="R40" s="2" t="str">
        <f>VLOOKUP(A:A,Vlookup!A:B,2,0)</f>
        <v>NB</v>
      </c>
    </row>
    <row r="41" spans="1:18" x14ac:dyDescent="0.3">
      <c r="A41" t="s">
        <v>72</v>
      </c>
      <c r="B41" s="1">
        <v>45821</v>
      </c>
      <c r="C41" s="1">
        <v>45825</v>
      </c>
      <c r="D41" t="s">
        <v>16</v>
      </c>
      <c r="E41">
        <v>2025</v>
      </c>
      <c r="F41">
        <v>6</v>
      </c>
      <c r="G41">
        <v>13</v>
      </c>
      <c r="H41">
        <v>24</v>
      </c>
      <c r="I41" s="7">
        <v>2</v>
      </c>
      <c r="J41" t="s">
        <v>67</v>
      </c>
      <c r="K41" t="s">
        <v>68</v>
      </c>
      <c r="L41" t="s">
        <v>23</v>
      </c>
      <c r="M41" t="s">
        <v>133</v>
      </c>
      <c r="N41" s="7">
        <v>99.83</v>
      </c>
      <c r="O41" s="7">
        <v>110</v>
      </c>
      <c r="P41" s="7">
        <f>ApprovedTimeReport_000_202567__1[[#This Row],[CostRate w/ Taxes]]*ApprovedTimeReport_000_202567__1[[#This Row],[Time Actual]]</f>
        <v>220</v>
      </c>
      <c r="Q41" t="s">
        <v>17</v>
      </c>
      <c r="R41" s="2" t="str">
        <f>VLOOKUP(A:A,Vlookup!A:B,2,0)</f>
        <v>NB</v>
      </c>
    </row>
    <row r="42" spans="1:18" x14ac:dyDescent="0.3">
      <c r="A42" t="s">
        <v>72</v>
      </c>
      <c r="B42" s="1">
        <v>45824</v>
      </c>
      <c r="C42" s="1">
        <v>45831</v>
      </c>
      <c r="D42" t="s">
        <v>16</v>
      </c>
      <c r="E42">
        <v>2025</v>
      </c>
      <c r="F42">
        <v>6</v>
      </c>
      <c r="G42">
        <v>16</v>
      </c>
      <c r="H42">
        <v>25</v>
      </c>
      <c r="I42" s="7">
        <v>2</v>
      </c>
      <c r="J42" t="s">
        <v>67</v>
      </c>
      <c r="K42" t="s">
        <v>68</v>
      </c>
      <c r="L42" t="s">
        <v>23</v>
      </c>
      <c r="M42" t="s">
        <v>129</v>
      </c>
      <c r="N42" s="7">
        <v>99.83</v>
      </c>
      <c r="O42" s="7">
        <v>110</v>
      </c>
      <c r="P42" s="7">
        <f>ApprovedTimeReport_000_202567__1[[#This Row],[CostRate w/ Taxes]]*ApprovedTimeReport_000_202567__1[[#This Row],[Time Actual]]</f>
        <v>220</v>
      </c>
      <c r="Q42" t="s">
        <v>17</v>
      </c>
      <c r="R42" s="2" t="str">
        <f>VLOOKUP(A:A,Vlookup!A:B,2,0)</f>
        <v>NB</v>
      </c>
    </row>
    <row r="43" spans="1:18" x14ac:dyDescent="0.3">
      <c r="A43" t="s">
        <v>72</v>
      </c>
      <c r="B43" s="1">
        <v>45825</v>
      </c>
      <c r="C43" s="1">
        <v>45831</v>
      </c>
      <c r="D43" t="s">
        <v>16</v>
      </c>
      <c r="E43">
        <v>2025</v>
      </c>
      <c r="F43">
        <v>6</v>
      </c>
      <c r="G43">
        <v>17</v>
      </c>
      <c r="H43">
        <v>25</v>
      </c>
      <c r="I43" s="7">
        <v>2</v>
      </c>
      <c r="J43" t="s">
        <v>67</v>
      </c>
      <c r="K43" t="s">
        <v>68</v>
      </c>
      <c r="L43" t="s">
        <v>23</v>
      </c>
      <c r="M43" t="s">
        <v>126</v>
      </c>
      <c r="N43" s="7">
        <v>99.83</v>
      </c>
      <c r="O43" s="7">
        <v>110</v>
      </c>
      <c r="P43" s="7">
        <f>ApprovedTimeReport_000_202567__1[[#This Row],[CostRate w/ Taxes]]*ApprovedTimeReport_000_202567__1[[#This Row],[Time Actual]]</f>
        <v>220</v>
      </c>
      <c r="Q43" t="s">
        <v>17</v>
      </c>
      <c r="R43" s="2" t="str">
        <f>VLOOKUP(A:A,Vlookup!A:B,2,0)</f>
        <v>NB</v>
      </c>
    </row>
    <row r="44" spans="1:18" x14ac:dyDescent="0.3">
      <c r="A44" t="s">
        <v>72</v>
      </c>
      <c r="B44" s="1">
        <v>45826</v>
      </c>
      <c r="C44" s="1">
        <v>45831</v>
      </c>
      <c r="D44" t="s">
        <v>16</v>
      </c>
      <c r="E44">
        <v>2025</v>
      </c>
      <c r="F44">
        <v>6</v>
      </c>
      <c r="G44">
        <v>18</v>
      </c>
      <c r="H44">
        <v>25</v>
      </c>
      <c r="I44" s="7">
        <v>1</v>
      </c>
      <c r="J44" t="s">
        <v>67</v>
      </c>
      <c r="K44" t="s">
        <v>68</v>
      </c>
      <c r="L44" t="s">
        <v>23</v>
      </c>
      <c r="M44" t="s">
        <v>115</v>
      </c>
      <c r="N44" s="7">
        <v>99.83</v>
      </c>
      <c r="O44" s="7">
        <v>110</v>
      </c>
      <c r="P44" s="7">
        <f>ApprovedTimeReport_000_202567__1[[#This Row],[CostRate w/ Taxes]]*ApprovedTimeReport_000_202567__1[[#This Row],[Time Actual]]</f>
        <v>110</v>
      </c>
      <c r="Q44" t="s">
        <v>17</v>
      </c>
      <c r="R44" s="2" t="str">
        <f>VLOOKUP(A:A,Vlookup!A:B,2,0)</f>
        <v>NB</v>
      </c>
    </row>
    <row r="45" spans="1:18" x14ac:dyDescent="0.3">
      <c r="A45" t="s">
        <v>72</v>
      </c>
      <c r="B45" s="1">
        <v>45832</v>
      </c>
      <c r="C45" s="1">
        <v>45840</v>
      </c>
      <c r="D45" t="s">
        <v>16</v>
      </c>
      <c r="E45">
        <v>2025</v>
      </c>
      <c r="F45">
        <v>6</v>
      </c>
      <c r="G45">
        <v>24</v>
      </c>
      <c r="H45">
        <v>26</v>
      </c>
      <c r="I45" s="7">
        <v>2</v>
      </c>
      <c r="J45" t="s">
        <v>67</v>
      </c>
      <c r="K45" t="s">
        <v>68</v>
      </c>
      <c r="L45" t="s">
        <v>23</v>
      </c>
      <c r="M45" t="s">
        <v>105</v>
      </c>
      <c r="N45" s="7">
        <v>99.83</v>
      </c>
      <c r="O45" s="7">
        <v>110</v>
      </c>
      <c r="P45" s="7">
        <f>ApprovedTimeReport_000_202567__1[[#This Row],[CostRate w/ Taxes]]*ApprovedTimeReport_000_202567__1[[#This Row],[Time Actual]]</f>
        <v>220</v>
      </c>
      <c r="Q45" t="s">
        <v>17</v>
      </c>
      <c r="R45" s="2" t="str">
        <f>VLOOKUP(A:A,Vlookup!A:B,2,0)</f>
        <v>NB</v>
      </c>
    </row>
    <row r="46" spans="1:18" x14ac:dyDescent="0.3">
      <c r="A46" t="s">
        <v>72</v>
      </c>
      <c r="B46" s="1">
        <v>45833</v>
      </c>
      <c r="C46" s="1">
        <v>45840</v>
      </c>
      <c r="D46" t="s">
        <v>16</v>
      </c>
      <c r="E46">
        <v>2025</v>
      </c>
      <c r="F46">
        <v>6</v>
      </c>
      <c r="G46">
        <v>25</v>
      </c>
      <c r="H46">
        <v>26</v>
      </c>
      <c r="I46" s="7">
        <v>2</v>
      </c>
      <c r="J46" t="s">
        <v>67</v>
      </c>
      <c r="K46" t="s">
        <v>68</v>
      </c>
      <c r="L46" t="s">
        <v>23</v>
      </c>
      <c r="M46" t="s">
        <v>101</v>
      </c>
      <c r="N46" s="7">
        <v>99.83</v>
      </c>
      <c r="O46" s="7">
        <v>110</v>
      </c>
      <c r="P46" s="7">
        <f>ApprovedTimeReport_000_202567__1[[#This Row],[CostRate w/ Taxes]]*ApprovedTimeReport_000_202567__1[[#This Row],[Time Actual]]</f>
        <v>220</v>
      </c>
      <c r="Q46" t="s">
        <v>17</v>
      </c>
      <c r="R46" s="2" t="str">
        <f>VLOOKUP(A:A,Vlookup!A:B,2,0)</f>
        <v>NB</v>
      </c>
    </row>
    <row r="47" spans="1:18" x14ac:dyDescent="0.3">
      <c r="A47" t="s">
        <v>72</v>
      </c>
      <c r="B47" s="1">
        <v>45835</v>
      </c>
      <c r="C47" s="1">
        <v>45840</v>
      </c>
      <c r="D47" t="s">
        <v>16</v>
      </c>
      <c r="E47">
        <v>2025</v>
      </c>
      <c r="F47">
        <v>6</v>
      </c>
      <c r="G47">
        <v>27</v>
      </c>
      <c r="H47">
        <v>26</v>
      </c>
      <c r="I47" s="7">
        <v>4</v>
      </c>
      <c r="J47" t="s">
        <v>67</v>
      </c>
      <c r="K47" t="s">
        <v>68</v>
      </c>
      <c r="L47" t="s">
        <v>23</v>
      </c>
      <c r="M47" t="s">
        <v>73</v>
      </c>
      <c r="N47" s="7">
        <v>99.83</v>
      </c>
      <c r="O47" s="7">
        <v>110</v>
      </c>
      <c r="P47" s="7">
        <f>ApprovedTimeReport_000_202567__1[[#This Row],[CostRate w/ Taxes]]*ApprovedTimeReport_000_202567__1[[#This Row],[Time Actual]]</f>
        <v>440</v>
      </c>
      <c r="Q47" t="s">
        <v>17</v>
      </c>
      <c r="R47" s="2" t="str">
        <f>VLOOKUP(A:A,Vlookup!A:B,2,0)</f>
        <v>NB</v>
      </c>
    </row>
    <row r="48" spans="1:18" x14ac:dyDescent="0.3">
      <c r="A48" t="s">
        <v>37</v>
      </c>
      <c r="B48" s="1">
        <v>45811</v>
      </c>
      <c r="C48" s="1">
        <v>45817</v>
      </c>
      <c r="D48" t="s">
        <v>16</v>
      </c>
      <c r="E48">
        <v>2025</v>
      </c>
      <c r="F48">
        <v>6</v>
      </c>
      <c r="G48">
        <v>3</v>
      </c>
      <c r="H48">
        <v>23</v>
      </c>
      <c r="I48" s="7">
        <v>2</v>
      </c>
      <c r="J48" t="s">
        <v>67</v>
      </c>
      <c r="K48" t="s">
        <v>68</v>
      </c>
      <c r="L48" t="s">
        <v>32</v>
      </c>
      <c r="M48" t="s">
        <v>176</v>
      </c>
      <c r="N48" s="7">
        <v>99.83</v>
      </c>
      <c r="O48" s="7">
        <v>110</v>
      </c>
      <c r="P48" s="7">
        <f>ApprovedTimeReport_000_202567__1[[#This Row],[CostRate w/ Taxes]]*ApprovedTimeReport_000_202567__1[[#This Row],[Time Actual]]</f>
        <v>220</v>
      </c>
      <c r="Q48" t="s">
        <v>17</v>
      </c>
      <c r="R48" s="2" t="str">
        <f>VLOOKUP(A:A,Vlookup!A:B,2,0)</f>
        <v>NB</v>
      </c>
    </row>
    <row r="49" spans="1:18" x14ac:dyDescent="0.3">
      <c r="A49" t="s">
        <v>37</v>
      </c>
      <c r="B49" s="1">
        <v>45813</v>
      </c>
      <c r="C49" s="1">
        <v>45817</v>
      </c>
      <c r="D49" t="s">
        <v>16</v>
      </c>
      <c r="E49">
        <v>2025</v>
      </c>
      <c r="F49">
        <v>6</v>
      </c>
      <c r="G49">
        <v>5</v>
      </c>
      <c r="H49">
        <v>23</v>
      </c>
      <c r="I49" s="7">
        <v>1</v>
      </c>
      <c r="J49" t="s">
        <v>67</v>
      </c>
      <c r="K49" t="s">
        <v>68</v>
      </c>
      <c r="L49" t="s">
        <v>32</v>
      </c>
      <c r="M49" t="s">
        <v>163</v>
      </c>
      <c r="N49" s="7">
        <v>99.83</v>
      </c>
      <c r="O49" s="7">
        <v>110</v>
      </c>
      <c r="P49" s="7">
        <f>ApprovedTimeReport_000_202567__1[[#This Row],[CostRate w/ Taxes]]*ApprovedTimeReport_000_202567__1[[#This Row],[Time Actual]]</f>
        <v>110</v>
      </c>
      <c r="Q49" t="s">
        <v>17</v>
      </c>
      <c r="R49" s="2" t="str">
        <f>VLOOKUP(A:A,Vlookup!A:B,2,0)</f>
        <v>NB</v>
      </c>
    </row>
    <row r="50" spans="1:18" x14ac:dyDescent="0.3">
      <c r="A50" t="s">
        <v>37</v>
      </c>
      <c r="B50" s="1">
        <v>45814</v>
      </c>
      <c r="C50" s="1">
        <v>45817</v>
      </c>
      <c r="D50" t="s">
        <v>16</v>
      </c>
      <c r="E50">
        <v>2025</v>
      </c>
      <c r="F50">
        <v>6</v>
      </c>
      <c r="G50">
        <v>6</v>
      </c>
      <c r="H50">
        <v>23</v>
      </c>
      <c r="I50" s="7">
        <v>1</v>
      </c>
      <c r="J50" t="s">
        <v>67</v>
      </c>
      <c r="K50" t="s">
        <v>68</v>
      </c>
      <c r="L50" t="s">
        <v>32</v>
      </c>
      <c r="M50" t="s">
        <v>158</v>
      </c>
      <c r="N50" s="7">
        <v>99.83</v>
      </c>
      <c r="O50" s="7">
        <v>110</v>
      </c>
      <c r="P50" s="7">
        <f>ApprovedTimeReport_000_202567__1[[#This Row],[CostRate w/ Taxes]]*ApprovedTimeReport_000_202567__1[[#This Row],[Time Actual]]</f>
        <v>110</v>
      </c>
      <c r="Q50" t="s">
        <v>17</v>
      </c>
      <c r="R50" s="2" t="str">
        <f>VLOOKUP(A:A,Vlookup!A:B,2,0)</f>
        <v>NB</v>
      </c>
    </row>
    <row r="51" spans="1:18" x14ac:dyDescent="0.3">
      <c r="A51" t="s">
        <v>37</v>
      </c>
      <c r="B51" s="1">
        <v>45817</v>
      </c>
      <c r="C51" s="1">
        <v>45824</v>
      </c>
      <c r="D51" t="s">
        <v>16</v>
      </c>
      <c r="E51">
        <v>2025</v>
      </c>
      <c r="F51">
        <v>6</v>
      </c>
      <c r="G51">
        <v>9</v>
      </c>
      <c r="H51">
        <v>24</v>
      </c>
      <c r="I51" s="7">
        <v>2</v>
      </c>
      <c r="J51" t="s">
        <v>67</v>
      </c>
      <c r="K51" t="s">
        <v>68</v>
      </c>
      <c r="L51" t="s">
        <v>32</v>
      </c>
      <c r="M51" t="s">
        <v>157</v>
      </c>
      <c r="N51" s="7">
        <v>99.83</v>
      </c>
      <c r="O51" s="7">
        <v>110</v>
      </c>
      <c r="P51" s="7">
        <f>ApprovedTimeReport_000_202567__1[[#This Row],[CostRate w/ Taxes]]*ApprovedTimeReport_000_202567__1[[#This Row],[Time Actual]]</f>
        <v>220</v>
      </c>
      <c r="Q51" t="s">
        <v>17</v>
      </c>
      <c r="R51" s="2" t="str">
        <f>VLOOKUP(A:A,Vlookup!A:B,2,0)</f>
        <v>NB</v>
      </c>
    </row>
    <row r="52" spans="1:18" x14ac:dyDescent="0.3">
      <c r="A52" t="s">
        <v>37</v>
      </c>
      <c r="B52" s="1">
        <v>45818</v>
      </c>
      <c r="C52" s="1">
        <v>45825</v>
      </c>
      <c r="D52" t="s">
        <v>16</v>
      </c>
      <c r="E52">
        <v>2025</v>
      </c>
      <c r="F52">
        <v>6</v>
      </c>
      <c r="G52">
        <v>10</v>
      </c>
      <c r="H52">
        <v>24</v>
      </c>
      <c r="I52" s="7">
        <v>2</v>
      </c>
      <c r="J52" t="s">
        <v>67</v>
      </c>
      <c r="K52" t="s">
        <v>68</v>
      </c>
      <c r="L52" t="s">
        <v>32</v>
      </c>
      <c r="M52" t="s">
        <v>150</v>
      </c>
      <c r="N52" s="7">
        <v>99.83</v>
      </c>
      <c r="O52" s="7">
        <v>110</v>
      </c>
      <c r="P52" s="7">
        <f>ApprovedTimeReport_000_202567__1[[#This Row],[CostRate w/ Taxes]]*ApprovedTimeReport_000_202567__1[[#This Row],[Time Actual]]</f>
        <v>220</v>
      </c>
      <c r="Q52" t="s">
        <v>17</v>
      </c>
      <c r="R52" s="2" t="str">
        <f>VLOOKUP(A:A,Vlookup!A:B,2,0)</f>
        <v>NB</v>
      </c>
    </row>
    <row r="53" spans="1:18" x14ac:dyDescent="0.3">
      <c r="A53" t="s">
        <v>37</v>
      </c>
      <c r="B53" s="1">
        <v>45819</v>
      </c>
      <c r="C53" s="1">
        <v>45825</v>
      </c>
      <c r="D53" t="s">
        <v>16</v>
      </c>
      <c r="E53">
        <v>2025</v>
      </c>
      <c r="F53">
        <v>6</v>
      </c>
      <c r="G53">
        <v>11</v>
      </c>
      <c r="H53">
        <v>24</v>
      </c>
      <c r="I53" s="7">
        <v>2</v>
      </c>
      <c r="J53" t="s">
        <v>67</v>
      </c>
      <c r="K53" t="s">
        <v>68</v>
      </c>
      <c r="L53" t="s">
        <v>32</v>
      </c>
      <c r="M53" t="s">
        <v>144</v>
      </c>
      <c r="N53" s="7">
        <v>99.83</v>
      </c>
      <c r="O53" s="7">
        <v>110</v>
      </c>
      <c r="P53" s="7">
        <f>ApprovedTimeReport_000_202567__1[[#This Row],[CostRate w/ Taxes]]*ApprovedTimeReport_000_202567__1[[#This Row],[Time Actual]]</f>
        <v>220</v>
      </c>
      <c r="Q53" t="s">
        <v>17</v>
      </c>
      <c r="R53" s="2" t="str">
        <f>VLOOKUP(A:A,Vlookup!A:B,2,0)</f>
        <v>NB</v>
      </c>
    </row>
    <row r="54" spans="1:18" x14ac:dyDescent="0.3">
      <c r="A54" t="s">
        <v>37</v>
      </c>
      <c r="B54" s="1">
        <v>45821</v>
      </c>
      <c r="C54" s="1">
        <v>45825</v>
      </c>
      <c r="D54" t="s">
        <v>16</v>
      </c>
      <c r="E54">
        <v>2025</v>
      </c>
      <c r="F54">
        <v>6</v>
      </c>
      <c r="G54">
        <v>13</v>
      </c>
      <c r="H54">
        <v>24</v>
      </c>
      <c r="I54" s="7">
        <v>3</v>
      </c>
      <c r="J54" t="s">
        <v>67</v>
      </c>
      <c r="K54" t="s">
        <v>68</v>
      </c>
      <c r="L54" t="s">
        <v>32</v>
      </c>
      <c r="M54" t="s">
        <v>132</v>
      </c>
      <c r="N54" s="7">
        <v>99.83</v>
      </c>
      <c r="O54" s="7">
        <v>110</v>
      </c>
      <c r="P54" s="7">
        <f>ApprovedTimeReport_000_202567__1[[#This Row],[CostRate w/ Taxes]]*ApprovedTimeReport_000_202567__1[[#This Row],[Time Actual]]</f>
        <v>330</v>
      </c>
      <c r="Q54" t="s">
        <v>17</v>
      </c>
      <c r="R54" s="2" t="str">
        <f>VLOOKUP(A:A,Vlookup!A:B,2,0)</f>
        <v>NB</v>
      </c>
    </row>
    <row r="55" spans="1:18" x14ac:dyDescent="0.3">
      <c r="A55" t="s">
        <v>37</v>
      </c>
      <c r="B55" s="1">
        <v>45826</v>
      </c>
      <c r="C55" s="1">
        <v>45831</v>
      </c>
      <c r="D55" t="s">
        <v>16</v>
      </c>
      <c r="E55">
        <v>2025</v>
      </c>
      <c r="F55">
        <v>6</v>
      </c>
      <c r="G55">
        <v>18</v>
      </c>
      <c r="H55">
        <v>25</v>
      </c>
      <c r="I55" s="7">
        <v>1</v>
      </c>
      <c r="J55" t="s">
        <v>67</v>
      </c>
      <c r="K55" t="s">
        <v>68</v>
      </c>
      <c r="L55" t="s">
        <v>32</v>
      </c>
      <c r="M55" t="s">
        <v>116</v>
      </c>
      <c r="N55" s="7">
        <v>99.83</v>
      </c>
      <c r="O55" s="7">
        <v>110</v>
      </c>
      <c r="P55" s="7">
        <f>ApprovedTimeReport_000_202567__1[[#This Row],[CostRate w/ Taxes]]*ApprovedTimeReport_000_202567__1[[#This Row],[Time Actual]]</f>
        <v>110</v>
      </c>
      <c r="Q55" t="s">
        <v>17</v>
      </c>
      <c r="R55" s="2" t="str">
        <f>VLOOKUP(A:A,Vlookup!A:B,2,0)</f>
        <v>NB</v>
      </c>
    </row>
    <row r="56" spans="1:18" x14ac:dyDescent="0.3">
      <c r="A56" t="s">
        <v>18</v>
      </c>
      <c r="B56" s="1">
        <v>45810</v>
      </c>
      <c r="C56" s="1">
        <v>45817</v>
      </c>
      <c r="D56" t="s">
        <v>16</v>
      </c>
      <c r="E56">
        <v>2025</v>
      </c>
      <c r="F56">
        <v>6</v>
      </c>
      <c r="G56">
        <v>2</v>
      </c>
      <c r="H56">
        <v>23</v>
      </c>
      <c r="I56" s="7">
        <v>5</v>
      </c>
      <c r="J56" t="s">
        <v>67</v>
      </c>
      <c r="K56" t="s">
        <v>68</v>
      </c>
      <c r="L56" t="s">
        <v>23</v>
      </c>
      <c r="M56" t="s">
        <v>179</v>
      </c>
      <c r="N56" s="7">
        <v>99.83</v>
      </c>
      <c r="O56" s="7">
        <v>110</v>
      </c>
      <c r="P56" s="7">
        <f>ApprovedTimeReport_000_202567__1[[#This Row],[CostRate w/ Taxes]]*ApprovedTimeReport_000_202567__1[[#This Row],[Time Actual]]</f>
        <v>550</v>
      </c>
      <c r="Q56" t="s">
        <v>17</v>
      </c>
      <c r="R56" s="2" t="str">
        <f>VLOOKUP(A:A,Vlookup!A:B,2,0)</f>
        <v>NB</v>
      </c>
    </row>
    <row r="57" spans="1:18" x14ac:dyDescent="0.3">
      <c r="A57" t="s">
        <v>18</v>
      </c>
      <c r="B57" s="1">
        <v>45811</v>
      </c>
      <c r="C57" s="1">
        <v>45817</v>
      </c>
      <c r="D57" t="s">
        <v>16</v>
      </c>
      <c r="E57">
        <v>2025</v>
      </c>
      <c r="F57">
        <v>6</v>
      </c>
      <c r="G57">
        <v>3</v>
      </c>
      <c r="H57">
        <v>23</v>
      </c>
      <c r="I57" s="7">
        <v>2</v>
      </c>
      <c r="J57" t="s">
        <v>67</v>
      </c>
      <c r="K57" t="s">
        <v>68</v>
      </c>
      <c r="L57" t="s">
        <v>23</v>
      </c>
      <c r="M57" t="s">
        <v>175</v>
      </c>
      <c r="N57" s="7">
        <v>99.83</v>
      </c>
      <c r="O57" s="7">
        <v>110</v>
      </c>
      <c r="P57" s="7">
        <f>ApprovedTimeReport_000_202567__1[[#This Row],[CostRate w/ Taxes]]*ApprovedTimeReport_000_202567__1[[#This Row],[Time Actual]]</f>
        <v>220</v>
      </c>
      <c r="Q57" t="s">
        <v>17</v>
      </c>
      <c r="R57" s="2" t="str">
        <f>VLOOKUP(A:A,Vlookup!A:B,2,0)</f>
        <v>NB</v>
      </c>
    </row>
    <row r="58" spans="1:18" x14ac:dyDescent="0.3">
      <c r="A58" t="s">
        <v>18</v>
      </c>
      <c r="B58" s="1">
        <v>45812</v>
      </c>
      <c r="C58" s="1">
        <v>45817</v>
      </c>
      <c r="D58" t="s">
        <v>16</v>
      </c>
      <c r="E58">
        <v>2025</v>
      </c>
      <c r="F58">
        <v>6</v>
      </c>
      <c r="G58">
        <v>4</v>
      </c>
      <c r="H58">
        <v>23</v>
      </c>
      <c r="I58" s="7">
        <v>2</v>
      </c>
      <c r="J58" t="s">
        <v>67</v>
      </c>
      <c r="K58" t="s">
        <v>68</v>
      </c>
      <c r="L58" t="s">
        <v>23</v>
      </c>
      <c r="M58" t="s">
        <v>170</v>
      </c>
      <c r="N58" s="7">
        <v>99.83</v>
      </c>
      <c r="O58" s="7">
        <v>110</v>
      </c>
      <c r="P58" s="7">
        <f>ApprovedTimeReport_000_202567__1[[#This Row],[CostRate w/ Taxes]]*ApprovedTimeReport_000_202567__1[[#This Row],[Time Actual]]</f>
        <v>220</v>
      </c>
      <c r="Q58" t="s">
        <v>17</v>
      </c>
      <c r="R58" s="2" t="str">
        <f>VLOOKUP(A:A,Vlookup!A:B,2,0)</f>
        <v>NB</v>
      </c>
    </row>
    <row r="59" spans="1:18" x14ac:dyDescent="0.3">
      <c r="A59" t="s">
        <v>18</v>
      </c>
      <c r="B59" s="1">
        <v>45813</v>
      </c>
      <c r="C59" s="1">
        <v>45817</v>
      </c>
      <c r="D59" t="s">
        <v>16</v>
      </c>
      <c r="E59">
        <v>2025</v>
      </c>
      <c r="F59">
        <v>6</v>
      </c>
      <c r="G59">
        <v>5</v>
      </c>
      <c r="H59">
        <v>23</v>
      </c>
      <c r="I59" s="7">
        <v>2</v>
      </c>
      <c r="J59" t="s">
        <v>67</v>
      </c>
      <c r="K59" t="s">
        <v>68</v>
      </c>
      <c r="L59" t="s">
        <v>23</v>
      </c>
      <c r="M59" t="s">
        <v>164</v>
      </c>
      <c r="N59" s="7">
        <v>99.83</v>
      </c>
      <c r="O59" s="7">
        <v>110</v>
      </c>
      <c r="P59" s="7">
        <f>ApprovedTimeReport_000_202567__1[[#This Row],[CostRate w/ Taxes]]*ApprovedTimeReport_000_202567__1[[#This Row],[Time Actual]]</f>
        <v>220</v>
      </c>
      <c r="Q59" t="s">
        <v>17</v>
      </c>
      <c r="R59" s="2" t="str">
        <f>VLOOKUP(A:A,Vlookup!A:B,2,0)</f>
        <v>NB</v>
      </c>
    </row>
    <row r="60" spans="1:18" x14ac:dyDescent="0.3">
      <c r="A60" t="s">
        <v>18</v>
      </c>
      <c r="B60" s="1">
        <v>45814</v>
      </c>
      <c r="C60" s="1">
        <v>45817</v>
      </c>
      <c r="D60" t="s">
        <v>16</v>
      </c>
      <c r="E60">
        <v>2025</v>
      </c>
      <c r="F60">
        <v>6</v>
      </c>
      <c r="G60">
        <v>6</v>
      </c>
      <c r="H60">
        <v>23</v>
      </c>
      <c r="I60" s="7">
        <v>2</v>
      </c>
      <c r="J60" t="s">
        <v>67</v>
      </c>
      <c r="K60" t="s">
        <v>68</v>
      </c>
      <c r="L60" t="s">
        <v>23</v>
      </c>
      <c r="M60" t="s">
        <v>162</v>
      </c>
      <c r="N60" s="7">
        <v>99.83</v>
      </c>
      <c r="O60" s="7">
        <v>110</v>
      </c>
      <c r="P60" s="7">
        <f>ApprovedTimeReport_000_202567__1[[#This Row],[CostRate w/ Taxes]]*ApprovedTimeReport_000_202567__1[[#This Row],[Time Actual]]</f>
        <v>220</v>
      </c>
      <c r="Q60" t="s">
        <v>17</v>
      </c>
      <c r="R60" s="2" t="str">
        <f>VLOOKUP(A:A,Vlookup!A:B,2,0)</f>
        <v>NB</v>
      </c>
    </row>
    <row r="61" spans="1:18" x14ac:dyDescent="0.3">
      <c r="A61" t="s">
        <v>18</v>
      </c>
      <c r="B61" s="1">
        <v>45817</v>
      </c>
      <c r="C61" s="1">
        <v>45824</v>
      </c>
      <c r="D61" t="s">
        <v>16</v>
      </c>
      <c r="E61">
        <v>2025</v>
      </c>
      <c r="F61">
        <v>6</v>
      </c>
      <c r="G61">
        <v>9</v>
      </c>
      <c r="H61">
        <v>24</v>
      </c>
      <c r="I61" s="7">
        <v>3</v>
      </c>
      <c r="J61" t="s">
        <v>67</v>
      </c>
      <c r="K61" t="s">
        <v>68</v>
      </c>
      <c r="L61" t="s">
        <v>23</v>
      </c>
      <c r="M61" t="s">
        <v>154</v>
      </c>
      <c r="N61" s="7">
        <v>99.83</v>
      </c>
      <c r="O61" s="7">
        <v>110</v>
      </c>
      <c r="P61" s="7">
        <f>ApprovedTimeReport_000_202567__1[[#This Row],[CostRate w/ Taxes]]*ApprovedTimeReport_000_202567__1[[#This Row],[Time Actual]]</f>
        <v>330</v>
      </c>
      <c r="Q61" t="s">
        <v>17</v>
      </c>
      <c r="R61" s="2" t="str">
        <f>VLOOKUP(A:A,Vlookup!A:B,2,0)</f>
        <v>NB</v>
      </c>
    </row>
    <row r="62" spans="1:18" x14ac:dyDescent="0.3">
      <c r="A62" t="s">
        <v>18</v>
      </c>
      <c r="B62" s="1">
        <v>45818</v>
      </c>
      <c r="C62" s="1">
        <v>45825</v>
      </c>
      <c r="D62" t="s">
        <v>16</v>
      </c>
      <c r="E62">
        <v>2025</v>
      </c>
      <c r="F62">
        <v>6</v>
      </c>
      <c r="G62">
        <v>10</v>
      </c>
      <c r="H62">
        <v>24</v>
      </c>
      <c r="I62" s="7">
        <v>3</v>
      </c>
      <c r="J62" t="s">
        <v>67</v>
      </c>
      <c r="K62" t="s">
        <v>68</v>
      </c>
      <c r="L62" t="s">
        <v>23</v>
      </c>
      <c r="M62" t="s">
        <v>152</v>
      </c>
      <c r="N62" s="7">
        <v>99.83</v>
      </c>
      <c r="O62" s="7">
        <v>110</v>
      </c>
      <c r="P62" s="7">
        <f>ApprovedTimeReport_000_202567__1[[#This Row],[CostRate w/ Taxes]]*ApprovedTimeReport_000_202567__1[[#This Row],[Time Actual]]</f>
        <v>330</v>
      </c>
      <c r="Q62" t="s">
        <v>17</v>
      </c>
      <c r="R62" s="2" t="str">
        <f>VLOOKUP(A:A,Vlookup!A:B,2,0)</f>
        <v>NB</v>
      </c>
    </row>
    <row r="63" spans="1:18" x14ac:dyDescent="0.3">
      <c r="A63" t="s">
        <v>18</v>
      </c>
      <c r="B63" s="1">
        <v>45819</v>
      </c>
      <c r="C63" s="1">
        <v>45825</v>
      </c>
      <c r="D63" t="s">
        <v>16</v>
      </c>
      <c r="E63">
        <v>2025</v>
      </c>
      <c r="F63">
        <v>6</v>
      </c>
      <c r="G63">
        <v>11</v>
      </c>
      <c r="H63">
        <v>24</v>
      </c>
      <c r="I63" s="7">
        <v>2</v>
      </c>
      <c r="J63" t="s">
        <v>67</v>
      </c>
      <c r="K63" t="s">
        <v>68</v>
      </c>
      <c r="L63" t="s">
        <v>23</v>
      </c>
      <c r="M63" t="s">
        <v>148</v>
      </c>
      <c r="N63" s="7">
        <v>99.83</v>
      </c>
      <c r="O63" s="7">
        <v>110</v>
      </c>
      <c r="P63" s="7">
        <f>ApprovedTimeReport_000_202567__1[[#This Row],[CostRate w/ Taxes]]*ApprovedTimeReport_000_202567__1[[#This Row],[Time Actual]]</f>
        <v>220</v>
      </c>
      <c r="Q63" t="s">
        <v>17</v>
      </c>
      <c r="R63" s="2" t="str">
        <f>VLOOKUP(A:A,Vlookup!A:B,2,0)</f>
        <v>NB</v>
      </c>
    </row>
    <row r="64" spans="1:18" x14ac:dyDescent="0.3">
      <c r="A64" t="s">
        <v>18</v>
      </c>
      <c r="B64" s="1">
        <v>45820</v>
      </c>
      <c r="C64" s="1">
        <v>45825</v>
      </c>
      <c r="D64" t="s">
        <v>16</v>
      </c>
      <c r="E64">
        <v>2025</v>
      </c>
      <c r="F64">
        <v>6</v>
      </c>
      <c r="G64">
        <v>12</v>
      </c>
      <c r="H64">
        <v>24</v>
      </c>
      <c r="I64" s="7">
        <v>3</v>
      </c>
      <c r="J64" t="s">
        <v>67</v>
      </c>
      <c r="K64" t="s">
        <v>68</v>
      </c>
      <c r="L64" t="s">
        <v>23</v>
      </c>
      <c r="M64" t="s">
        <v>138</v>
      </c>
      <c r="N64" s="7">
        <v>99.83</v>
      </c>
      <c r="O64" s="7">
        <v>110</v>
      </c>
      <c r="P64" s="7">
        <f>ApprovedTimeReport_000_202567__1[[#This Row],[CostRate w/ Taxes]]*ApprovedTimeReport_000_202567__1[[#This Row],[Time Actual]]</f>
        <v>330</v>
      </c>
      <c r="Q64" t="s">
        <v>17</v>
      </c>
      <c r="R64" s="2" t="str">
        <f>VLOOKUP(A:A,Vlookup!A:B,2,0)</f>
        <v>NB</v>
      </c>
    </row>
    <row r="65" spans="1:18" x14ac:dyDescent="0.3">
      <c r="A65" t="s">
        <v>18</v>
      </c>
      <c r="B65" s="1">
        <v>45824</v>
      </c>
      <c r="C65" s="1">
        <v>45831</v>
      </c>
      <c r="D65" t="s">
        <v>16</v>
      </c>
      <c r="E65">
        <v>2025</v>
      </c>
      <c r="F65">
        <v>6</v>
      </c>
      <c r="G65">
        <v>16</v>
      </c>
      <c r="H65">
        <v>25</v>
      </c>
      <c r="I65" s="7">
        <v>4</v>
      </c>
      <c r="J65" t="s">
        <v>67</v>
      </c>
      <c r="K65" t="s">
        <v>68</v>
      </c>
      <c r="L65" t="s">
        <v>23</v>
      </c>
      <c r="M65" t="s">
        <v>128</v>
      </c>
      <c r="N65" s="7">
        <v>99.83</v>
      </c>
      <c r="O65" s="7">
        <v>110</v>
      </c>
      <c r="P65" s="7">
        <f>ApprovedTimeReport_000_202567__1[[#This Row],[CostRate w/ Taxes]]*ApprovedTimeReport_000_202567__1[[#This Row],[Time Actual]]</f>
        <v>440</v>
      </c>
      <c r="Q65" t="s">
        <v>17</v>
      </c>
      <c r="R65" s="2" t="str">
        <f>VLOOKUP(A:A,Vlookup!A:B,2,0)</f>
        <v>NB</v>
      </c>
    </row>
    <row r="66" spans="1:18" x14ac:dyDescent="0.3">
      <c r="A66" t="s">
        <v>18</v>
      </c>
      <c r="B66" s="1">
        <v>45825</v>
      </c>
      <c r="C66" s="1">
        <v>45831</v>
      </c>
      <c r="D66" t="s">
        <v>16</v>
      </c>
      <c r="E66">
        <v>2025</v>
      </c>
      <c r="F66">
        <v>6</v>
      </c>
      <c r="G66">
        <v>17</v>
      </c>
      <c r="H66">
        <v>25</v>
      </c>
      <c r="I66" s="7">
        <v>2</v>
      </c>
      <c r="J66" t="s">
        <v>67</v>
      </c>
      <c r="K66" t="s">
        <v>68</v>
      </c>
      <c r="L66" t="s">
        <v>23</v>
      </c>
      <c r="M66" t="s">
        <v>124</v>
      </c>
      <c r="N66" s="7">
        <v>99.83</v>
      </c>
      <c r="O66" s="7">
        <v>110</v>
      </c>
      <c r="P66" s="7">
        <f>ApprovedTimeReport_000_202567__1[[#This Row],[CostRate w/ Taxes]]*ApprovedTimeReport_000_202567__1[[#This Row],[Time Actual]]</f>
        <v>220</v>
      </c>
      <c r="Q66" t="s">
        <v>17</v>
      </c>
      <c r="R66" s="2" t="str">
        <f>VLOOKUP(A:A,Vlookup!A:B,2,0)</f>
        <v>NB</v>
      </c>
    </row>
    <row r="67" spans="1:18" x14ac:dyDescent="0.3">
      <c r="A67" t="s">
        <v>18</v>
      </c>
      <c r="B67" s="1">
        <v>45826</v>
      </c>
      <c r="C67" s="1">
        <v>45831</v>
      </c>
      <c r="D67" t="s">
        <v>16</v>
      </c>
      <c r="E67">
        <v>2025</v>
      </c>
      <c r="F67">
        <v>6</v>
      </c>
      <c r="G67">
        <v>18</v>
      </c>
      <c r="H67">
        <v>25</v>
      </c>
      <c r="I67" s="7">
        <v>4</v>
      </c>
      <c r="J67" t="s">
        <v>67</v>
      </c>
      <c r="K67" t="s">
        <v>68</v>
      </c>
      <c r="L67" t="s">
        <v>23</v>
      </c>
      <c r="M67" t="s">
        <v>114</v>
      </c>
      <c r="N67" s="7">
        <v>99.83</v>
      </c>
      <c r="O67" s="7">
        <v>110</v>
      </c>
      <c r="P67" s="7">
        <f>ApprovedTimeReport_000_202567__1[[#This Row],[CostRate w/ Taxes]]*ApprovedTimeReport_000_202567__1[[#This Row],[Time Actual]]</f>
        <v>440</v>
      </c>
      <c r="Q67" t="s">
        <v>17</v>
      </c>
      <c r="R67" s="2" t="str">
        <f>VLOOKUP(A:A,Vlookup!A:B,2,0)</f>
        <v>NB</v>
      </c>
    </row>
    <row r="68" spans="1:18" x14ac:dyDescent="0.3">
      <c r="A68" t="s">
        <v>18</v>
      </c>
      <c r="B68" s="1">
        <v>45828</v>
      </c>
      <c r="C68" s="1">
        <v>45831</v>
      </c>
      <c r="D68" t="s">
        <v>16</v>
      </c>
      <c r="E68">
        <v>2025</v>
      </c>
      <c r="F68">
        <v>6</v>
      </c>
      <c r="G68">
        <v>20</v>
      </c>
      <c r="H68">
        <v>25</v>
      </c>
      <c r="I68" s="7">
        <v>2</v>
      </c>
      <c r="J68" t="s">
        <v>67</v>
      </c>
      <c r="K68" t="s">
        <v>68</v>
      </c>
      <c r="L68" t="s">
        <v>23</v>
      </c>
      <c r="M68" t="s">
        <v>111</v>
      </c>
      <c r="N68" s="7">
        <v>99.83</v>
      </c>
      <c r="O68" s="7">
        <v>110</v>
      </c>
      <c r="P68" s="7">
        <f>ApprovedTimeReport_000_202567__1[[#This Row],[CostRate w/ Taxes]]*ApprovedTimeReport_000_202567__1[[#This Row],[Time Actual]]</f>
        <v>220</v>
      </c>
      <c r="Q68" t="s">
        <v>17</v>
      </c>
      <c r="R68" s="2" t="str">
        <f>VLOOKUP(A:A,Vlookup!A:B,2,0)</f>
        <v>NB</v>
      </c>
    </row>
    <row r="69" spans="1:18" x14ac:dyDescent="0.3">
      <c r="A69" t="s">
        <v>18</v>
      </c>
      <c r="B69" s="1">
        <v>45831</v>
      </c>
      <c r="C69" s="1">
        <v>45839</v>
      </c>
      <c r="D69" t="s">
        <v>16</v>
      </c>
      <c r="E69">
        <v>2025</v>
      </c>
      <c r="F69">
        <v>6</v>
      </c>
      <c r="G69">
        <v>23</v>
      </c>
      <c r="H69">
        <v>26</v>
      </c>
      <c r="I69" s="7">
        <v>4</v>
      </c>
      <c r="J69" t="s">
        <v>67</v>
      </c>
      <c r="K69" t="s">
        <v>68</v>
      </c>
      <c r="L69" t="s">
        <v>23</v>
      </c>
      <c r="M69" t="s">
        <v>107</v>
      </c>
      <c r="N69" s="7">
        <v>99.83</v>
      </c>
      <c r="O69" s="7">
        <v>110</v>
      </c>
      <c r="P69" s="7">
        <f>ApprovedTimeReport_000_202567__1[[#This Row],[CostRate w/ Taxes]]*ApprovedTimeReport_000_202567__1[[#This Row],[Time Actual]]</f>
        <v>440</v>
      </c>
      <c r="Q69" t="s">
        <v>17</v>
      </c>
      <c r="R69" s="2" t="str">
        <f>VLOOKUP(A:A,Vlookup!A:B,2,0)</f>
        <v>NB</v>
      </c>
    </row>
    <row r="70" spans="1:18" x14ac:dyDescent="0.3">
      <c r="A70" t="s">
        <v>18</v>
      </c>
      <c r="B70" s="1">
        <v>45832</v>
      </c>
      <c r="C70" s="1">
        <v>45840</v>
      </c>
      <c r="D70" t="s">
        <v>16</v>
      </c>
      <c r="E70">
        <v>2025</v>
      </c>
      <c r="F70">
        <v>6</v>
      </c>
      <c r="G70">
        <v>24</v>
      </c>
      <c r="H70">
        <v>26</v>
      </c>
      <c r="I70" s="7">
        <v>5</v>
      </c>
      <c r="J70" t="s">
        <v>67</v>
      </c>
      <c r="K70" t="s">
        <v>68</v>
      </c>
      <c r="L70" t="s">
        <v>23</v>
      </c>
      <c r="M70" t="s">
        <v>104</v>
      </c>
      <c r="N70" s="7">
        <v>99.83</v>
      </c>
      <c r="O70" s="7">
        <v>110</v>
      </c>
      <c r="P70" s="7">
        <f>ApprovedTimeReport_000_202567__1[[#This Row],[CostRate w/ Taxes]]*ApprovedTimeReport_000_202567__1[[#This Row],[Time Actual]]</f>
        <v>550</v>
      </c>
      <c r="Q70" t="s">
        <v>17</v>
      </c>
      <c r="R70" s="2" t="str">
        <f>VLOOKUP(A:A,Vlookup!A:B,2,0)</f>
        <v>NB</v>
      </c>
    </row>
    <row r="71" spans="1:18" x14ac:dyDescent="0.3">
      <c r="A71" t="s">
        <v>18</v>
      </c>
      <c r="B71" s="1">
        <v>45833</v>
      </c>
      <c r="C71" s="1">
        <v>45840</v>
      </c>
      <c r="D71" t="s">
        <v>16</v>
      </c>
      <c r="E71">
        <v>2025</v>
      </c>
      <c r="F71">
        <v>6</v>
      </c>
      <c r="G71">
        <v>25</v>
      </c>
      <c r="H71">
        <v>26</v>
      </c>
      <c r="I71" s="7">
        <v>1</v>
      </c>
      <c r="J71" t="s">
        <v>67</v>
      </c>
      <c r="K71" t="s">
        <v>68</v>
      </c>
      <c r="L71" t="s">
        <v>23</v>
      </c>
      <c r="M71" t="s">
        <v>98</v>
      </c>
      <c r="N71" s="7">
        <v>99.83</v>
      </c>
      <c r="O71" s="7">
        <v>110</v>
      </c>
      <c r="P71" s="7">
        <f>ApprovedTimeReport_000_202567__1[[#This Row],[CostRate w/ Taxes]]*ApprovedTimeReport_000_202567__1[[#This Row],[Time Actual]]</f>
        <v>110</v>
      </c>
      <c r="Q71" t="s">
        <v>17</v>
      </c>
      <c r="R71" s="2" t="str">
        <f>VLOOKUP(A:A,Vlookup!A:B,2,0)</f>
        <v>NB</v>
      </c>
    </row>
    <row r="72" spans="1:18" x14ac:dyDescent="0.3">
      <c r="A72" t="s">
        <v>18</v>
      </c>
      <c r="B72" s="1">
        <v>45834</v>
      </c>
      <c r="C72" s="1">
        <v>45840</v>
      </c>
      <c r="D72" t="s">
        <v>16</v>
      </c>
      <c r="E72">
        <v>2025</v>
      </c>
      <c r="F72">
        <v>6</v>
      </c>
      <c r="G72">
        <v>26</v>
      </c>
      <c r="H72">
        <v>26</v>
      </c>
      <c r="I72" s="7">
        <v>5</v>
      </c>
      <c r="J72" t="s">
        <v>67</v>
      </c>
      <c r="K72" t="s">
        <v>68</v>
      </c>
      <c r="L72" t="s">
        <v>23</v>
      </c>
      <c r="M72" t="s">
        <v>92</v>
      </c>
      <c r="N72" s="7">
        <v>99.83</v>
      </c>
      <c r="O72" s="7">
        <v>110</v>
      </c>
      <c r="P72" s="7">
        <f>ApprovedTimeReport_000_202567__1[[#This Row],[CostRate w/ Taxes]]*ApprovedTimeReport_000_202567__1[[#This Row],[Time Actual]]</f>
        <v>550</v>
      </c>
      <c r="Q72" t="s">
        <v>17</v>
      </c>
      <c r="R72" s="2" t="str">
        <f>VLOOKUP(A:A,Vlookup!A:B,2,0)</f>
        <v>NB</v>
      </c>
    </row>
    <row r="73" spans="1:18" x14ac:dyDescent="0.3">
      <c r="A73" t="s">
        <v>18</v>
      </c>
      <c r="B73" s="1">
        <v>45835</v>
      </c>
      <c r="C73" s="1">
        <v>45840</v>
      </c>
      <c r="D73" t="s">
        <v>16</v>
      </c>
      <c r="E73">
        <v>2025</v>
      </c>
      <c r="F73">
        <v>6</v>
      </c>
      <c r="G73">
        <v>27</v>
      </c>
      <c r="H73">
        <v>26</v>
      </c>
      <c r="I73" s="7">
        <v>3</v>
      </c>
      <c r="J73" t="s">
        <v>67</v>
      </c>
      <c r="K73" t="s">
        <v>68</v>
      </c>
      <c r="L73" t="s">
        <v>23</v>
      </c>
      <c r="M73" t="s">
        <v>76</v>
      </c>
      <c r="N73" s="7">
        <v>99.83</v>
      </c>
      <c r="O73" s="7">
        <v>110</v>
      </c>
      <c r="P73" s="7">
        <f>ApprovedTimeReport_000_202567__1[[#This Row],[CostRate w/ Taxes]]*ApprovedTimeReport_000_202567__1[[#This Row],[Time Actual]]</f>
        <v>330</v>
      </c>
      <c r="Q73" t="s">
        <v>17</v>
      </c>
      <c r="R73" s="2" t="str">
        <f>VLOOKUP(A:A,Vlookup!A:B,2,0)</f>
        <v>NB</v>
      </c>
    </row>
    <row r="74" spans="1:18" x14ac:dyDescent="0.3">
      <c r="A74" t="s">
        <v>40</v>
      </c>
      <c r="B74" s="1">
        <v>45811</v>
      </c>
      <c r="C74" s="1">
        <v>45817</v>
      </c>
      <c r="D74" t="s">
        <v>16</v>
      </c>
      <c r="E74">
        <v>2025</v>
      </c>
      <c r="F74">
        <v>6</v>
      </c>
      <c r="G74">
        <v>3</v>
      </c>
      <c r="H74">
        <v>23</v>
      </c>
      <c r="I74" s="7">
        <v>1</v>
      </c>
      <c r="J74" t="s">
        <v>67</v>
      </c>
      <c r="K74" t="s">
        <v>68</v>
      </c>
      <c r="L74" t="s">
        <v>23</v>
      </c>
      <c r="M74" t="s">
        <v>177</v>
      </c>
      <c r="N74" s="7">
        <v>157</v>
      </c>
      <c r="O74" s="7">
        <f>ApprovedTimeReport_000_202567__1[[#This Row],[CostRate]]/0.9075</f>
        <v>173.00275482093664</v>
      </c>
      <c r="P74" s="7">
        <f>ApprovedTimeReport_000_202567__1[[#This Row],[CostRate w/ Taxes]]*ApprovedTimeReport_000_202567__1[[#This Row],[Time Actual]]</f>
        <v>173.00275482093664</v>
      </c>
      <c r="Q74" t="s">
        <v>41</v>
      </c>
      <c r="R74" s="2" t="str">
        <f>VLOOKUP(A:A,Vlookup!A:B,2,0)</f>
        <v>FF</v>
      </c>
    </row>
    <row r="75" spans="1:18" x14ac:dyDescent="0.3">
      <c r="A75" t="s">
        <v>40</v>
      </c>
      <c r="B75" s="1">
        <v>45813</v>
      </c>
      <c r="C75" s="1">
        <v>45817</v>
      </c>
      <c r="D75" t="s">
        <v>16</v>
      </c>
      <c r="E75">
        <v>2025</v>
      </c>
      <c r="F75">
        <v>6</v>
      </c>
      <c r="G75">
        <v>5</v>
      </c>
      <c r="H75">
        <v>23</v>
      </c>
      <c r="I75" s="7">
        <v>1</v>
      </c>
      <c r="J75" t="s">
        <v>67</v>
      </c>
      <c r="K75" t="s">
        <v>68</v>
      </c>
      <c r="L75" t="s">
        <v>23</v>
      </c>
      <c r="M75" t="s">
        <v>166</v>
      </c>
      <c r="N75" s="7">
        <v>157</v>
      </c>
      <c r="O75" s="7">
        <f>ApprovedTimeReport_000_202567__1[[#This Row],[CostRate]]/0.9075</f>
        <v>173.00275482093664</v>
      </c>
      <c r="P75" s="7">
        <f>ApprovedTimeReport_000_202567__1[[#This Row],[CostRate w/ Taxes]]*ApprovedTimeReport_000_202567__1[[#This Row],[Time Actual]]</f>
        <v>173.00275482093664</v>
      </c>
      <c r="Q75" t="s">
        <v>41</v>
      </c>
      <c r="R75" s="2" t="str">
        <f>VLOOKUP(A:A,Vlookup!A:B,2,0)</f>
        <v>FF</v>
      </c>
    </row>
    <row r="76" spans="1:18" x14ac:dyDescent="0.3">
      <c r="A76" t="s">
        <v>40</v>
      </c>
      <c r="B76" s="1">
        <v>45819</v>
      </c>
      <c r="C76" s="1">
        <v>45825</v>
      </c>
      <c r="D76" t="s">
        <v>16</v>
      </c>
      <c r="E76">
        <v>2025</v>
      </c>
      <c r="F76">
        <v>6</v>
      </c>
      <c r="G76">
        <v>11</v>
      </c>
      <c r="H76">
        <v>24</v>
      </c>
      <c r="I76" s="7">
        <v>1</v>
      </c>
      <c r="J76" t="s">
        <v>67</v>
      </c>
      <c r="K76" t="s">
        <v>68</v>
      </c>
      <c r="L76" t="s">
        <v>23</v>
      </c>
      <c r="M76" t="s">
        <v>143</v>
      </c>
      <c r="N76" s="7">
        <v>157</v>
      </c>
      <c r="O76" s="7">
        <f>ApprovedTimeReport_000_202567__1[[#This Row],[CostRate]]/0.9075</f>
        <v>173.00275482093664</v>
      </c>
      <c r="P76" s="7">
        <f>ApprovedTimeReport_000_202567__1[[#This Row],[CostRate w/ Taxes]]*ApprovedTimeReport_000_202567__1[[#This Row],[Time Actual]]</f>
        <v>173.00275482093664</v>
      </c>
      <c r="Q76" t="s">
        <v>41</v>
      </c>
      <c r="R76" s="2" t="str">
        <f>VLOOKUP(A:A,Vlookup!A:B,2,0)</f>
        <v>FF</v>
      </c>
    </row>
    <row r="77" spans="1:18" x14ac:dyDescent="0.3">
      <c r="A77" t="s">
        <v>40</v>
      </c>
      <c r="B77" s="1">
        <v>45820</v>
      </c>
      <c r="C77" s="1">
        <v>45825</v>
      </c>
      <c r="D77" t="s">
        <v>16</v>
      </c>
      <c r="E77">
        <v>2025</v>
      </c>
      <c r="F77">
        <v>6</v>
      </c>
      <c r="G77">
        <v>12</v>
      </c>
      <c r="H77">
        <v>24</v>
      </c>
      <c r="I77" s="7">
        <v>1</v>
      </c>
      <c r="J77" t="s">
        <v>67</v>
      </c>
      <c r="K77" t="s">
        <v>68</v>
      </c>
      <c r="L77" t="s">
        <v>23</v>
      </c>
      <c r="M77" t="s">
        <v>141</v>
      </c>
      <c r="N77" s="7">
        <v>157</v>
      </c>
      <c r="O77" s="7">
        <f>ApprovedTimeReport_000_202567__1[[#This Row],[CostRate]]/0.9075</f>
        <v>173.00275482093664</v>
      </c>
      <c r="P77" s="7">
        <f>ApprovedTimeReport_000_202567__1[[#This Row],[CostRate w/ Taxes]]*ApprovedTimeReport_000_202567__1[[#This Row],[Time Actual]]</f>
        <v>173.00275482093664</v>
      </c>
      <c r="Q77" t="s">
        <v>41</v>
      </c>
      <c r="R77" s="2" t="str">
        <f>VLOOKUP(A:A,Vlookup!A:B,2,0)</f>
        <v>FF</v>
      </c>
    </row>
    <row r="78" spans="1:18" x14ac:dyDescent="0.3">
      <c r="A78" t="s">
        <v>40</v>
      </c>
      <c r="B78" s="1">
        <v>45826</v>
      </c>
      <c r="C78" s="1">
        <v>45831</v>
      </c>
      <c r="D78" t="s">
        <v>16</v>
      </c>
      <c r="E78">
        <v>2025</v>
      </c>
      <c r="F78">
        <v>6</v>
      </c>
      <c r="G78">
        <v>18</v>
      </c>
      <c r="H78">
        <v>25</v>
      </c>
      <c r="I78" s="7">
        <v>2</v>
      </c>
      <c r="J78" t="s">
        <v>67</v>
      </c>
      <c r="K78" t="s">
        <v>68</v>
      </c>
      <c r="L78" t="s">
        <v>23</v>
      </c>
      <c r="M78" t="s">
        <v>120</v>
      </c>
      <c r="N78" s="7">
        <v>157</v>
      </c>
      <c r="O78" s="7">
        <f>ApprovedTimeReport_000_202567__1[[#This Row],[CostRate]]/0.9075</f>
        <v>173.00275482093664</v>
      </c>
      <c r="P78" s="7">
        <f>ApprovedTimeReport_000_202567__1[[#This Row],[CostRate w/ Taxes]]*ApprovedTimeReport_000_202567__1[[#This Row],[Time Actual]]</f>
        <v>346.00550964187329</v>
      </c>
      <c r="Q78" t="s">
        <v>41</v>
      </c>
      <c r="R78" s="2" t="str">
        <f>VLOOKUP(A:A,Vlookup!A:B,2,0)</f>
        <v>FF</v>
      </c>
    </row>
    <row r="79" spans="1:18" x14ac:dyDescent="0.3">
      <c r="A79" t="s">
        <v>40</v>
      </c>
      <c r="B79" s="1">
        <v>45834</v>
      </c>
      <c r="C79" s="1">
        <v>45840</v>
      </c>
      <c r="D79" t="s">
        <v>16</v>
      </c>
      <c r="E79">
        <v>2025</v>
      </c>
      <c r="F79">
        <v>6</v>
      </c>
      <c r="G79">
        <v>26</v>
      </c>
      <c r="H79">
        <v>26</v>
      </c>
      <c r="I79" s="7">
        <v>2</v>
      </c>
      <c r="J79" t="s">
        <v>67</v>
      </c>
      <c r="K79" t="s">
        <v>68</v>
      </c>
      <c r="L79" t="s">
        <v>23</v>
      </c>
      <c r="M79" t="s">
        <v>87</v>
      </c>
      <c r="N79" s="7">
        <v>157</v>
      </c>
      <c r="O79" s="7">
        <f>ApprovedTimeReport_000_202567__1[[#This Row],[CostRate]]/0.9075</f>
        <v>173.00275482093664</v>
      </c>
      <c r="P79" s="7">
        <f>ApprovedTimeReport_000_202567__1[[#This Row],[CostRate w/ Taxes]]*ApprovedTimeReport_000_202567__1[[#This Row],[Time Actual]]</f>
        <v>346.00550964187329</v>
      </c>
      <c r="Q79" t="s">
        <v>41</v>
      </c>
      <c r="R79" s="2" t="str">
        <f>VLOOKUP(A:A,Vlookup!A:B,2,0)</f>
        <v>FF</v>
      </c>
    </row>
    <row r="80" spans="1:18" x14ac:dyDescent="0.3">
      <c r="B80" s="1"/>
      <c r="C80" s="1"/>
      <c r="R80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76B3A-F099-459C-ACA9-D91FC1260058}">
  <dimension ref="A1:B196"/>
  <sheetViews>
    <sheetView topLeftCell="A164" workbookViewId="0">
      <selection activeCell="B178" sqref="B178"/>
    </sheetView>
  </sheetViews>
  <sheetFormatPr defaultRowHeight="14.4" x14ac:dyDescent="0.3"/>
  <cols>
    <col min="1" max="1" width="22.33203125" bestFit="1" customWidth="1"/>
    <col min="2" max="2" width="11.109375" bestFit="1" customWidth="1"/>
  </cols>
  <sheetData>
    <row r="1" spans="1:2" x14ac:dyDescent="0.3">
      <c r="A1" t="s">
        <v>0</v>
      </c>
      <c r="B1" t="s">
        <v>185</v>
      </c>
    </row>
    <row r="2" spans="1:2" x14ac:dyDescent="0.3">
      <c r="A2" t="s">
        <v>186</v>
      </c>
      <c r="B2" t="s">
        <v>187</v>
      </c>
    </row>
    <row r="3" spans="1:2" x14ac:dyDescent="0.3">
      <c r="A3" t="s">
        <v>188</v>
      </c>
      <c r="B3" t="s">
        <v>187</v>
      </c>
    </row>
    <row r="4" spans="1:2" x14ac:dyDescent="0.3">
      <c r="A4" t="s">
        <v>189</v>
      </c>
      <c r="B4" t="s">
        <v>187</v>
      </c>
    </row>
    <row r="5" spans="1:2" x14ac:dyDescent="0.3">
      <c r="A5" t="s">
        <v>190</v>
      </c>
      <c r="B5" t="s">
        <v>187</v>
      </c>
    </row>
    <row r="6" spans="1:2" x14ac:dyDescent="0.3">
      <c r="A6" t="s">
        <v>184</v>
      </c>
      <c r="B6" t="s">
        <v>191</v>
      </c>
    </row>
    <row r="7" spans="1:2" x14ac:dyDescent="0.3">
      <c r="A7" t="s">
        <v>192</v>
      </c>
      <c r="B7" t="s">
        <v>187</v>
      </c>
    </row>
    <row r="8" spans="1:2" x14ac:dyDescent="0.3">
      <c r="A8" t="s">
        <v>193</v>
      </c>
      <c r="B8" t="s">
        <v>187</v>
      </c>
    </row>
    <row r="9" spans="1:2" x14ac:dyDescent="0.3">
      <c r="A9" t="s">
        <v>194</v>
      </c>
      <c r="B9" t="s">
        <v>187</v>
      </c>
    </row>
    <row r="10" spans="1:2" x14ac:dyDescent="0.3">
      <c r="A10" t="s">
        <v>36</v>
      </c>
      <c r="B10" t="s">
        <v>195</v>
      </c>
    </row>
    <row r="11" spans="1:2" x14ac:dyDescent="0.3">
      <c r="A11" t="s">
        <v>196</v>
      </c>
      <c r="B11" t="s">
        <v>195</v>
      </c>
    </row>
    <row r="12" spans="1:2" x14ac:dyDescent="0.3">
      <c r="A12" t="s">
        <v>80</v>
      </c>
      <c r="B12" t="s">
        <v>195</v>
      </c>
    </row>
    <row r="13" spans="1:2" x14ac:dyDescent="0.3">
      <c r="A13" t="s">
        <v>197</v>
      </c>
      <c r="B13" t="s">
        <v>187</v>
      </c>
    </row>
    <row r="14" spans="1:2" x14ac:dyDescent="0.3">
      <c r="A14" t="s">
        <v>198</v>
      </c>
      <c r="B14" t="s">
        <v>187</v>
      </c>
    </row>
    <row r="15" spans="1:2" x14ac:dyDescent="0.3">
      <c r="A15" t="s">
        <v>199</v>
      </c>
      <c r="B15" t="s">
        <v>187</v>
      </c>
    </row>
    <row r="16" spans="1:2" x14ac:dyDescent="0.3">
      <c r="A16" t="s">
        <v>200</v>
      </c>
      <c r="B16" t="s">
        <v>195</v>
      </c>
    </row>
    <row r="17" spans="1:2" x14ac:dyDescent="0.3">
      <c r="A17" t="s">
        <v>201</v>
      </c>
      <c r="B17" t="s">
        <v>187</v>
      </c>
    </row>
    <row r="18" spans="1:2" x14ac:dyDescent="0.3">
      <c r="A18" t="s">
        <v>202</v>
      </c>
      <c r="B18" t="s">
        <v>187</v>
      </c>
    </row>
    <row r="19" spans="1:2" x14ac:dyDescent="0.3">
      <c r="A19" t="s">
        <v>203</v>
      </c>
      <c r="B19" t="s">
        <v>187</v>
      </c>
    </row>
    <row r="20" spans="1:2" x14ac:dyDescent="0.3">
      <c r="A20" t="s">
        <v>204</v>
      </c>
      <c r="B20" t="s">
        <v>195</v>
      </c>
    </row>
    <row r="21" spans="1:2" x14ac:dyDescent="0.3">
      <c r="A21" t="s">
        <v>205</v>
      </c>
      <c r="B21" t="s">
        <v>187</v>
      </c>
    </row>
    <row r="22" spans="1:2" x14ac:dyDescent="0.3">
      <c r="A22" t="s">
        <v>206</v>
      </c>
      <c r="B22" t="s">
        <v>195</v>
      </c>
    </row>
    <row r="23" spans="1:2" x14ac:dyDescent="0.3">
      <c r="A23" t="s">
        <v>207</v>
      </c>
      <c r="B23" t="s">
        <v>195</v>
      </c>
    </row>
    <row r="24" spans="1:2" x14ac:dyDescent="0.3">
      <c r="A24" t="s">
        <v>208</v>
      </c>
      <c r="B24" t="s">
        <v>195</v>
      </c>
    </row>
    <row r="25" spans="1:2" x14ac:dyDescent="0.3">
      <c r="A25" t="s">
        <v>209</v>
      </c>
      <c r="B25" t="s">
        <v>187</v>
      </c>
    </row>
    <row r="26" spans="1:2" x14ac:dyDescent="0.3">
      <c r="A26" t="s">
        <v>210</v>
      </c>
      <c r="B26" t="s">
        <v>195</v>
      </c>
    </row>
    <row r="27" spans="1:2" x14ac:dyDescent="0.3">
      <c r="A27" t="s">
        <v>211</v>
      </c>
      <c r="B27" t="s">
        <v>187</v>
      </c>
    </row>
    <row r="28" spans="1:2" x14ac:dyDescent="0.3">
      <c r="A28" t="s">
        <v>24</v>
      </c>
      <c r="B28" t="s">
        <v>195</v>
      </c>
    </row>
    <row r="29" spans="1:2" x14ac:dyDescent="0.3">
      <c r="A29" t="s">
        <v>81</v>
      </c>
      <c r="B29" t="s">
        <v>195</v>
      </c>
    </row>
    <row r="30" spans="1:2" x14ac:dyDescent="0.3">
      <c r="A30" t="s">
        <v>212</v>
      </c>
      <c r="B30" t="s">
        <v>187</v>
      </c>
    </row>
    <row r="31" spans="1:2" x14ac:dyDescent="0.3">
      <c r="A31" t="s">
        <v>213</v>
      </c>
      <c r="B31" t="s">
        <v>195</v>
      </c>
    </row>
    <row r="32" spans="1:2" x14ac:dyDescent="0.3">
      <c r="A32" t="s">
        <v>214</v>
      </c>
      <c r="B32" t="s">
        <v>195</v>
      </c>
    </row>
    <row r="33" spans="1:2" x14ac:dyDescent="0.3">
      <c r="A33" t="s">
        <v>215</v>
      </c>
      <c r="B33" t="s">
        <v>195</v>
      </c>
    </row>
    <row r="34" spans="1:2" x14ac:dyDescent="0.3">
      <c r="A34" t="s">
        <v>216</v>
      </c>
      <c r="B34" t="s">
        <v>187</v>
      </c>
    </row>
    <row r="35" spans="1:2" x14ac:dyDescent="0.3">
      <c r="A35" t="s">
        <v>217</v>
      </c>
      <c r="B35" t="s">
        <v>195</v>
      </c>
    </row>
    <row r="36" spans="1:2" x14ac:dyDescent="0.3">
      <c r="A36" t="s">
        <v>218</v>
      </c>
      <c r="B36" t="s">
        <v>195</v>
      </c>
    </row>
    <row r="37" spans="1:2" x14ac:dyDescent="0.3">
      <c r="A37" t="s">
        <v>219</v>
      </c>
      <c r="B37" t="s">
        <v>191</v>
      </c>
    </row>
    <row r="38" spans="1:2" x14ac:dyDescent="0.3">
      <c r="A38" t="s">
        <v>220</v>
      </c>
      <c r="B38" t="s">
        <v>191</v>
      </c>
    </row>
    <row r="39" spans="1:2" x14ac:dyDescent="0.3">
      <c r="A39" t="s">
        <v>221</v>
      </c>
      <c r="B39" t="s">
        <v>191</v>
      </c>
    </row>
    <row r="40" spans="1:2" x14ac:dyDescent="0.3">
      <c r="A40" t="s">
        <v>222</v>
      </c>
      <c r="B40" t="s">
        <v>191</v>
      </c>
    </row>
    <row r="41" spans="1:2" x14ac:dyDescent="0.3">
      <c r="A41" t="s">
        <v>223</v>
      </c>
      <c r="B41" t="s">
        <v>191</v>
      </c>
    </row>
    <row r="42" spans="1:2" x14ac:dyDescent="0.3">
      <c r="A42" t="s">
        <v>224</v>
      </c>
      <c r="B42" t="s">
        <v>191</v>
      </c>
    </row>
    <row r="43" spans="1:2" x14ac:dyDescent="0.3">
      <c r="A43" t="s">
        <v>182</v>
      </c>
      <c r="B43" t="s">
        <v>191</v>
      </c>
    </row>
    <row r="44" spans="1:2" x14ac:dyDescent="0.3">
      <c r="A44" t="s">
        <v>58</v>
      </c>
      <c r="B44" t="s">
        <v>191</v>
      </c>
    </row>
    <row r="45" spans="1:2" x14ac:dyDescent="0.3">
      <c r="A45" t="s">
        <v>108</v>
      </c>
      <c r="B45" t="s">
        <v>191</v>
      </c>
    </row>
    <row r="46" spans="1:2" x14ac:dyDescent="0.3">
      <c r="A46" t="s">
        <v>225</v>
      </c>
      <c r="B46" t="s">
        <v>191</v>
      </c>
    </row>
    <row r="47" spans="1:2" x14ac:dyDescent="0.3">
      <c r="A47" t="s">
        <v>226</v>
      </c>
      <c r="B47" t="s">
        <v>191</v>
      </c>
    </row>
    <row r="48" spans="1:2" x14ac:dyDescent="0.3">
      <c r="A48" t="s">
        <v>227</v>
      </c>
      <c r="B48" t="s">
        <v>191</v>
      </c>
    </row>
    <row r="49" spans="1:2" x14ac:dyDescent="0.3">
      <c r="A49" t="s">
        <v>56</v>
      </c>
      <c r="B49" t="s">
        <v>191</v>
      </c>
    </row>
    <row r="50" spans="1:2" x14ac:dyDescent="0.3">
      <c r="A50" t="s">
        <v>83</v>
      </c>
      <c r="B50" t="s">
        <v>191</v>
      </c>
    </row>
    <row r="51" spans="1:2" x14ac:dyDescent="0.3">
      <c r="A51" t="s">
        <v>57</v>
      </c>
      <c r="B51" t="s">
        <v>191</v>
      </c>
    </row>
    <row r="52" spans="1:2" x14ac:dyDescent="0.3">
      <c r="A52" t="s">
        <v>228</v>
      </c>
      <c r="B52" t="s">
        <v>187</v>
      </c>
    </row>
    <row r="53" spans="1:2" x14ac:dyDescent="0.3">
      <c r="A53" t="s">
        <v>229</v>
      </c>
      <c r="B53" t="s">
        <v>195</v>
      </c>
    </row>
    <row r="54" spans="1:2" x14ac:dyDescent="0.3">
      <c r="A54" t="s">
        <v>230</v>
      </c>
      <c r="B54" t="s">
        <v>187</v>
      </c>
    </row>
    <row r="55" spans="1:2" x14ac:dyDescent="0.3">
      <c r="A55" t="s">
        <v>231</v>
      </c>
      <c r="B55" t="s">
        <v>195</v>
      </c>
    </row>
    <row r="56" spans="1:2" x14ac:dyDescent="0.3">
      <c r="A56" t="s">
        <v>232</v>
      </c>
      <c r="B56" t="s">
        <v>187</v>
      </c>
    </row>
    <row r="57" spans="1:2" x14ac:dyDescent="0.3">
      <c r="A57" t="s">
        <v>233</v>
      </c>
      <c r="B57" t="s">
        <v>195</v>
      </c>
    </row>
    <row r="58" spans="1:2" x14ac:dyDescent="0.3">
      <c r="A58" t="s">
        <v>91</v>
      </c>
      <c r="B58" t="s">
        <v>195</v>
      </c>
    </row>
    <row r="59" spans="1:2" x14ac:dyDescent="0.3">
      <c r="A59" t="s">
        <v>234</v>
      </c>
      <c r="B59" t="s">
        <v>195</v>
      </c>
    </row>
    <row r="60" spans="1:2" x14ac:dyDescent="0.3">
      <c r="A60" t="s">
        <v>235</v>
      </c>
      <c r="B60" t="s">
        <v>195</v>
      </c>
    </row>
    <row r="61" spans="1:2" x14ac:dyDescent="0.3">
      <c r="A61" t="s">
        <v>236</v>
      </c>
      <c r="B61" t="s">
        <v>195</v>
      </c>
    </row>
    <row r="62" spans="1:2" x14ac:dyDescent="0.3">
      <c r="A62" t="s">
        <v>237</v>
      </c>
      <c r="B62" t="s">
        <v>191</v>
      </c>
    </row>
    <row r="63" spans="1:2" x14ac:dyDescent="0.3">
      <c r="A63" t="s">
        <v>238</v>
      </c>
      <c r="B63" t="s">
        <v>191</v>
      </c>
    </row>
    <row r="64" spans="1:2" x14ac:dyDescent="0.3">
      <c r="A64" t="s">
        <v>239</v>
      </c>
      <c r="B64" t="s">
        <v>191</v>
      </c>
    </row>
    <row r="65" spans="1:2" x14ac:dyDescent="0.3">
      <c r="A65" t="s">
        <v>240</v>
      </c>
      <c r="B65" t="s">
        <v>191</v>
      </c>
    </row>
    <row r="66" spans="1:2" x14ac:dyDescent="0.3">
      <c r="A66" t="s">
        <v>241</v>
      </c>
      <c r="B66" t="s">
        <v>191</v>
      </c>
    </row>
    <row r="67" spans="1:2" x14ac:dyDescent="0.3">
      <c r="A67" t="s">
        <v>242</v>
      </c>
      <c r="B67" t="s">
        <v>195</v>
      </c>
    </row>
    <row r="68" spans="1:2" x14ac:dyDescent="0.3">
      <c r="A68" t="s">
        <v>59</v>
      </c>
      <c r="B68" t="s">
        <v>195</v>
      </c>
    </row>
    <row r="69" spans="1:2" x14ac:dyDescent="0.3">
      <c r="A69" t="s">
        <v>243</v>
      </c>
      <c r="B69" t="s">
        <v>187</v>
      </c>
    </row>
    <row r="70" spans="1:2" x14ac:dyDescent="0.3">
      <c r="A70" t="s">
        <v>102</v>
      </c>
      <c r="B70" t="s">
        <v>187</v>
      </c>
    </row>
    <row r="71" spans="1:2" x14ac:dyDescent="0.3">
      <c r="A71" t="s">
        <v>244</v>
      </c>
      <c r="B71" t="s">
        <v>195</v>
      </c>
    </row>
    <row r="72" spans="1:2" x14ac:dyDescent="0.3">
      <c r="A72" t="s">
        <v>245</v>
      </c>
      <c r="B72" t="s">
        <v>195</v>
      </c>
    </row>
    <row r="73" spans="1:2" x14ac:dyDescent="0.3">
      <c r="A73" t="s">
        <v>246</v>
      </c>
      <c r="B73" t="s">
        <v>195</v>
      </c>
    </row>
    <row r="74" spans="1:2" x14ac:dyDescent="0.3">
      <c r="A74" t="s">
        <v>247</v>
      </c>
      <c r="B74" t="s">
        <v>195</v>
      </c>
    </row>
    <row r="75" spans="1:2" x14ac:dyDescent="0.3">
      <c r="A75" t="s">
        <v>248</v>
      </c>
      <c r="B75" t="s">
        <v>195</v>
      </c>
    </row>
    <row r="76" spans="1:2" x14ac:dyDescent="0.3">
      <c r="A76" t="s">
        <v>249</v>
      </c>
      <c r="B76" t="s">
        <v>195</v>
      </c>
    </row>
    <row r="77" spans="1:2" x14ac:dyDescent="0.3">
      <c r="A77" t="s">
        <v>250</v>
      </c>
      <c r="B77" t="s">
        <v>191</v>
      </c>
    </row>
    <row r="78" spans="1:2" x14ac:dyDescent="0.3">
      <c r="A78" t="s">
        <v>71</v>
      </c>
      <c r="B78" t="s">
        <v>187</v>
      </c>
    </row>
    <row r="79" spans="1:2" x14ac:dyDescent="0.3">
      <c r="A79" t="s">
        <v>251</v>
      </c>
      <c r="B79" t="s">
        <v>195</v>
      </c>
    </row>
    <row r="80" spans="1:2" x14ac:dyDescent="0.3">
      <c r="A80" t="s">
        <v>252</v>
      </c>
      <c r="B80" t="s">
        <v>195</v>
      </c>
    </row>
    <row r="81" spans="1:2" x14ac:dyDescent="0.3">
      <c r="A81" t="s">
        <v>253</v>
      </c>
      <c r="B81" t="s">
        <v>187</v>
      </c>
    </row>
    <row r="82" spans="1:2" x14ac:dyDescent="0.3">
      <c r="A82" t="s">
        <v>254</v>
      </c>
      <c r="B82" t="s">
        <v>187</v>
      </c>
    </row>
    <row r="83" spans="1:2" x14ac:dyDescent="0.3">
      <c r="A83" t="s">
        <v>255</v>
      </c>
      <c r="B83" t="s">
        <v>195</v>
      </c>
    </row>
    <row r="84" spans="1:2" x14ac:dyDescent="0.3">
      <c r="A84" t="s">
        <v>256</v>
      </c>
      <c r="B84" t="s">
        <v>191</v>
      </c>
    </row>
    <row r="85" spans="1:2" x14ac:dyDescent="0.3">
      <c r="A85" t="s">
        <v>257</v>
      </c>
      <c r="B85" t="s">
        <v>191</v>
      </c>
    </row>
    <row r="86" spans="1:2" x14ac:dyDescent="0.3">
      <c r="A86" t="s">
        <v>82</v>
      </c>
      <c r="B86" t="s">
        <v>191</v>
      </c>
    </row>
    <row r="87" spans="1:2" x14ac:dyDescent="0.3">
      <c r="A87" t="s">
        <v>258</v>
      </c>
      <c r="B87" t="s">
        <v>195</v>
      </c>
    </row>
    <row r="88" spans="1:2" x14ac:dyDescent="0.3">
      <c r="A88" t="s">
        <v>259</v>
      </c>
      <c r="B88" t="s">
        <v>195</v>
      </c>
    </row>
    <row r="89" spans="1:2" x14ac:dyDescent="0.3">
      <c r="A89" t="s">
        <v>260</v>
      </c>
      <c r="B89" t="s">
        <v>187</v>
      </c>
    </row>
    <row r="90" spans="1:2" x14ac:dyDescent="0.3">
      <c r="A90" t="s">
        <v>45</v>
      </c>
      <c r="B90" t="s">
        <v>187</v>
      </c>
    </row>
    <row r="91" spans="1:2" x14ac:dyDescent="0.3">
      <c r="A91" t="s">
        <v>261</v>
      </c>
      <c r="B91" t="s">
        <v>187</v>
      </c>
    </row>
    <row r="92" spans="1:2" x14ac:dyDescent="0.3">
      <c r="A92" t="s">
        <v>262</v>
      </c>
      <c r="B92" t="s">
        <v>191</v>
      </c>
    </row>
    <row r="93" spans="1:2" x14ac:dyDescent="0.3">
      <c r="A93" t="s">
        <v>263</v>
      </c>
      <c r="B93" t="s">
        <v>191</v>
      </c>
    </row>
    <row r="94" spans="1:2" x14ac:dyDescent="0.3">
      <c r="A94" t="s">
        <v>264</v>
      </c>
      <c r="B94" t="s">
        <v>191</v>
      </c>
    </row>
    <row r="95" spans="1:2" x14ac:dyDescent="0.3">
      <c r="A95" t="s">
        <v>265</v>
      </c>
      <c r="B95" t="s">
        <v>191</v>
      </c>
    </row>
    <row r="96" spans="1:2" x14ac:dyDescent="0.3">
      <c r="A96" t="s">
        <v>266</v>
      </c>
      <c r="B96" t="s">
        <v>195</v>
      </c>
    </row>
    <row r="97" spans="1:2" x14ac:dyDescent="0.3">
      <c r="A97" t="s">
        <v>267</v>
      </c>
      <c r="B97" t="s">
        <v>191</v>
      </c>
    </row>
    <row r="98" spans="1:2" x14ac:dyDescent="0.3">
      <c r="A98" t="s">
        <v>268</v>
      </c>
      <c r="B98" t="s">
        <v>191</v>
      </c>
    </row>
    <row r="99" spans="1:2" x14ac:dyDescent="0.3">
      <c r="A99" t="s">
        <v>269</v>
      </c>
      <c r="B99" t="s">
        <v>187</v>
      </c>
    </row>
    <row r="100" spans="1:2" x14ac:dyDescent="0.3">
      <c r="A100" t="s">
        <v>270</v>
      </c>
      <c r="B100" t="s">
        <v>187</v>
      </c>
    </row>
    <row r="101" spans="1:2" x14ac:dyDescent="0.3">
      <c r="A101" t="s">
        <v>271</v>
      </c>
      <c r="B101" t="s">
        <v>187</v>
      </c>
    </row>
    <row r="102" spans="1:2" x14ac:dyDescent="0.3">
      <c r="A102" t="s">
        <v>272</v>
      </c>
      <c r="B102" t="s">
        <v>187</v>
      </c>
    </row>
    <row r="103" spans="1:2" x14ac:dyDescent="0.3">
      <c r="A103" t="s">
        <v>273</v>
      </c>
      <c r="B103" t="s">
        <v>187</v>
      </c>
    </row>
    <row r="104" spans="1:2" x14ac:dyDescent="0.3">
      <c r="A104" t="s">
        <v>39</v>
      </c>
      <c r="B104" t="s">
        <v>195</v>
      </c>
    </row>
    <row r="105" spans="1:2" x14ac:dyDescent="0.3">
      <c r="A105" t="s">
        <v>274</v>
      </c>
      <c r="B105" t="s">
        <v>191</v>
      </c>
    </row>
    <row r="106" spans="1:2" x14ac:dyDescent="0.3">
      <c r="A106" t="s">
        <v>275</v>
      </c>
      <c r="B106" t="s">
        <v>191</v>
      </c>
    </row>
    <row r="107" spans="1:2" x14ac:dyDescent="0.3">
      <c r="A107" t="s">
        <v>276</v>
      </c>
      <c r="B107" t="s">
        <v>195</v>
      </c>
    </row>
    <row r="108" spans="1:2" x14ac:dyDescent="0.3">
      <c r="A108" t="s">
        <v>277</v>
      </c>
      <c r="B108" t="s">
        <v>195</v>
      </c>
    </row>
    <row r="109" spans="1:2" x14ac:dyDescent="0.3">
      <c r="A109" t="s">
        <v>183</v>
      </c>
      <c r="B109" t="s">
        <v>191</v>
      </c>
    </row>
    <row r="110" spans="1:2" x14ac:dyDescent="0.3">
      <c r="A110" t="s">
        <v>278</v>
      </c>
      <c r="B110" t="s">
        <v>195</v>
      </c>
    </row>
    <row r="111" spans="1:2" x14ac:dyDescent="0.3">
      <c r="A111" t="s">
        <v>279</v>
      </c>
      <c r="B111" t="s">
        <v>187</v>
      </c>
    </row>
    <row r="112" spans="1:2" x14ac:dyDescent="0.3">
      <c r="A112" t="s">
        <v>40</v>
      </c>
      <c r="B112" t="s">
        <v>187</v>
      </c>
    </row>
    <row r="113" spans="1:2" x14ac:dyDescent="0.3">
      <c r="A113" t="s">
        <v>280</v>
      </c>
      <c r="B113" t="s">
        <v>195</v>
      </c>
    </row>
    <row r="114" spans="1:2" x14ac:dyDescent="0.3">
      <c r="A114" t="s">
        <v>281</v>
      </c>
      <c r="B114" t="s">
        <v>195</v>
      </c>
    </row>
    <row r="115" spans="1:2" x14ac:dyDescent="0.3">
      <c r="A115" t="s">
        <v>282</v>
      </c>
      <c r="B115" t="s">
        <v>187</v>
      </c>
    </row>
    <row r="116" spans="1:2" x14ac:dyDescent="0.3">
      <c r="A116" t="s">
        <v>283</v>
      </c>
      <c r="B116" t="s">
        <v>195</v>
      </c>
    </row>
    <row r="117" spans="1:2" x14ac:dyDescent="0.3">
      <c r="A117" t="s">
        <v>284</v>
      </c>
      <c r="B117" t="s">
        <v>195</v>
      </c>
    </row>
    <row r="118" spans="1:2" x14ac:dyDescent="0.3">
      <c r="A118" t="s">
        <v>49</v>
      </c>
      <c r="B118" t="s">
        <v>195</v>
      </c>
    </row>
    <row r="119" spans="1:2" x14ac:dyDescent="0.3">
      <c r="A119" t="s">
        <v>65</v>
      </c>
      <c r="B119" t="s">
        <v>187</v>
      </c>
    </row>
    <row r="120" spans="1:2" x14ac:dyDescent="0.3">
      <c r="A120" t="s">
        <v>285</v>
      </c>
      <c r="B120" t="s">
        <v>195</v>
      </c>
    </row>
    <row r="121" spans="1:2" x14ac:dyDescent="0.3">
      <c r="A121" t="s">
        <v>78</v>
      </c>
      <c r="B121" t="s">
        <v>187</v>
      </c>
    </row>
    <row r="122" spans="1:2" x14ac:dyDescent="0.3">
      <c r="A122" t="s">
        <v>286</v>
      </c>
      <c r="B122" t="s">
        <v>187</v>
      </c>
    </row>
    <row r="123" spans="1:2" x14ac:dyDescent="0.3">
      <c r="A123" t="s">
        <v>287</v>
      </c>
      <c r="B123" t="s">
        <v>195</v>
      </c>
    </row>
    <row r="124" spans="1:2" x14ac:dyDescent="0.3">
      <c r="A124" t="s">
        <v>288</v>
      </c>
      <c r="B124" t="s">
        <v>187</v>
      </c>
    </row>
    <row r="125" spans="1:2" x14ac:dyDescent="0.3">
      <c r="A125" t="s">
        <v>289</v>
      </c>
      <c r="B125" t="s">
        <v>195</v>
      </c>
    </row>
    <row r="126" spans="1:2" x14ac:dyDescent="0.3">
      <c r="A126" t="s">
        <v>70</v>
      </c>
      <c r="B126" t="s">
        <v>187</v>
      </c>
    </row>
    <row r="127" spans="1:2" x14ac:dyDescent="0.3">
      <c r="A127" t="s">
        <v>290</v>
      </c>
      <c r="B127" t="s">
        <v>195</v>
      </c>
    </row>
    <row r="128" spans="1:2" x14ac:dyDescent="0.3">
      <c r="A128" t="s">
        <v>50</v>
      </c>
      <c r="B128" t="s">
        <v>187</v>
      </c>
    </row>
    <row r="129" spans="1:2" x14ac:dyDescent="0.3">
      <c r="A129" t="s">
        <v>74</v>
      </c>
      <c r="B129" t="s">
        <v>191</v>
      </c>
    </row>
    <row r="130" spans="1:2" x14ac:dyDescent="0.3">
      <c r="A130" t="s">
        <v>291</v>
      </c>
      <c r="B130" t="s">
        <v>191</v>
      </c>
    </row>
    <row r="131" spans="1:2" x14ac:dyDescent="0.3">
      <c r="A131" t="s">
        <v>292</v>
      </c>
      <c r="B131" t="s">
        <v>195</v>
      </c>
    </row>
    <row r="132" spans="1:2" x14ac:dyDescent="0.3">
      <c r="A132" t="s">
        <v>53</v>
      </c>
      <c r="B132" t="s">
        <v>195</v>
      </c>
    </row>
    <row r="133" spans="1:2" x14ac:dyDescent="0.3">
      <c r="A133" t="s">
        <v>293</v>
      </c>
      <c r="B133" t="s">
        <v>195</v>
      </c>
    </row>
    <row r="134" spans="1:2" x14ac:dyDescent="0.3">
      <c r="A134" t="s">
        <v>294</v>
      </c>
      <c r="B134" t="s">
        <v>195</v>
      </c>
    </row>
    <row r="135" spans="1:2" x14ac:dyDescent="0.3">
      <c r="A135" t="s">
        <v>295</v>
      </c>
      <c r="B135" t="s">
        <v>195</v>
      </c>
    </row>
    <row r="136" spans="1:2" x14ac:dyDescent="0.3">
      <c r="A136" t="s">
        <v>172</v>
      </c>
      <c r="B136" t="s">
        <v>191</v>
      </c>
    </row>
    <row r="137" spans="1:2" x14ac:dyDescent="0.3">
      <c r="A137" t="s">
        <v>296</v>
      </c>
      <c r="B137" t="s">
        <v>191</v>
      </c>
    </row>
    <row r="138" spans="1:2" x14ac:dyDescent="0.3">
      <c r="A138" t="s">
        <v>297</v>
      </c>
      <c r="B138" t="s">
        <v>187</v>
      </c>
    </row>
    <row r="139" spans="1:2" x14ac:dyDescent="0.3">
      <c r="A139" t="s">
        <v>63</v>
      </c>
      <c r="B139" t="s">
        <v>187</v>
      </c>
    </row>
    <row r="140" spans="1:2" x14ac:dyDescent="0.3">
      <c r="A140" t="s">
        <v>131</v>
      </c>
      <c r="B140" t="s">
        <v>195</v>
      </c>
    </row>
    <row r="141" spans="1:2" x14ac:dyDescent="0.3">
      <c r="A141" t="s">
        <v>93</v>
      </c>
      <c r="B141" t="s">
        <v>191</v>
      </c>
    </row>
    <row r="142" spans="1:2" x14ac:dyDescent="0.3">
      <c r="A142" t="s">
        <v>298</v>
      </c>
      <c r="B142" t="s">
        <v>191</v>
      </c>
    </row>
    <row r="143" spans="1:2" x14ac:dyDescent="0.3">
      <c r="A143" t="s">
        <v>79</v>
      </c>
      <c r="B143" t="s">
        <v>195</v>
      </c>
    </row>
    <row r="144" spans="1:2" x14ac:dyDescent="0.3">
      <c r="A144" t="s">
        <v>299</v>
      </c>
      <c r="B144" t="s">
        <v>195</v>
      </c>
    </row>
    <row r="145" spans="1:2" x14ac:dyDescent="0.3">
      <c r="A145" t="s">
        <v>77</v>
      </c>
      <c r="B145" t="s">
        <v>187</v>
      </c>
    </row>
    <row r="146" spans="1:2" x14ac:dyDescent="0.3">
      <c r="A146" t="s">
        <v>300</v>
      </c>
      <c r="B146" t="s">
        <v>195</v>
      </c>
    </row>
    <row r="147" spans="1:2" x14ac:dyDescent="0.3">
      <c r="A147" t="s">
        <v>301</v>
      </c>
      <c r="B147" t="s">
        <v>195</v>
      </c>
    </row>
    <row r="148" spans="1:2" x14ac:dyDescent="0.3">
      <c r="A148" t="s">
        <v>117</v>
      </c>
      <c r="B148" t="s">
        <v>187</v>
      </c>
    </row>
    <row r="149" spans="1:2" x14ac:dyDescent="0.3">
      <c r="A149" s="4" t="s">
        <v>19</v>
      </c>
      <c r="B149" t="s">
        <v>195</v>
      </c>
    </row>
    <row r="150" spans="1:2" x14ac:dyDescent="0.3">
      <c r="A150" s="4" t="s">
        <v>121</v>
      </c>
      <c r="B150" t="s">
        <v>195</v>
      </c>
    </row>
    <row r="151" spans="1:2" x14ac:dyDescent="0.3">
      <c r="A151" s="4" t="s">
        <v>302</v>
      </c>
      <c r="B151" t="s">
        <v>187</v>
      </c>
    </row>
    <row r="152" spans="1:2" x14ac:dyDescent="0.3">
      <c r="A152" s="4" t="s">
        <v>88</v>
      </c>
      <c r="B152" t="s">
        <v>187</v>
      </c>
    </row>
    <row r="153" spans="1:2" x14ac:dyDescent="0.3">
      <c r="A153" s="4" t="s">
        <v>119</v>
      </c>
      <c r="B153" t="s">
        <v>191</v>
      </c>
    </row>
    <row r="154" spans="1:2" x14ac:dyDescent="0.3">
      <c r="A154" s="4" t="s">
        <v>89</v>
      </c>
      <c r="B154" t="s">
        <v>187</v>
      </c>
    </row>
    <row r="155" spans="1:2" x14ac:dyDescent="0.3">
      <c r="A155" s="4" t="s">
        <v>130</v>
      </c>
      <c r="B155" t="s">
        <v>191</v>
      </c>
    </row>
    <row r="156" spans="1:2" x14ac:dyDescent="0.3">
      <c r="A156" s="4" t="s">
        <v>27</v>
      </c>
      <c r="B156" t="s">
        <v>187</v>
      </c>
    </row>
    <row r="157" spans="1:2" x14ac:dyDescent="0.3">
      <c r="A157" s="4" t="s">
        <v>22</v>
      </c>
      <c r="B157" t="s">
        <v>191</v>
      </c>
    </row>
    <row r="158" spans="1:2" x14ac:dyDescent="0.3">
      <c r="A158" s="4" t="s">
        <v>30</v>
      </c>
      <c r="B158" t="s">
        <v>191</v>
      </c>
    </row>
    <row r="159" spans="1:2" x14ac:dyDescent="0.3">
      <c r="A159" s="4" t="s">
        <v>31</v>
      </c>
      <c r="B159" t="s">
        <v>191</v>
      </c>
    </row>
    <row r="160" spans="1:2" x14ac:dyDescent="0.3">
      <c r="A160" s="4" t="s">
        <v>21</v>
      </c>
      <c r="B160" t="s">
        <v>191</v>
      </c>
    </row>
    <row r="161" spans="1:2" x14ac:dyDescent="0.3">
      <c r="A161" s="4" t="s">
        <v>66</v>
      </c>
      <c r="B161" t="s">
        <v>191</v>
      </c>
    </row>
    <row r="162" spans="1:2" x14ac:dyDescent="0.3">
      <c r="A162" s="4" t="s">
        <v>72</v>
      </c>
      <c r="B162" t="s">
        <v>191</v>
      </c>
    </row>
    <row r="163" spans="1:2" x14ac:dyDescent="0.3">
      <c r="A163" s="4" t="s">
        <v>37</v>
      </c>
      <c r="B163" t="s">
        <v>191</v>
      </c>
    </row>
    <row r="164" spans="1:2" x14ac:dyDescent="0.3">
      <c r="A164" s="4" t="s">
        <v>151</v>
      </c>
      <c r="B164" t="s">
        <v>191</v>
      </c>
    </row>
    <row r="165" spans="1:2" x14ac:dyDescent="0.3">
      <c r="A165" s="4" t="s">
        <v>15</v>
      </c>
      <c r="B165" t="s">
        <v>191</v>
      </c>
    </row>
    <row r="166" spans="1:2" x14ac:dyDescent="0.3">
      <c r="A166" s="4" t="s">
        <v>42</v>
      </c>
      <c r="B166" t="s">
        <v>191</v>
      </c>
    </row>
    <row r="167" spans="1:2" x14ac:dyDescent="0.3">
      <c r="A167" s="4" t="s">
        <v>20</v>
      </c>
      <c r="B167" t="s">
        <v>191</v>
      </c>
    </row>
    <row r="168" spans="1:2" x14ac:dyDescent="0.3">
      <c r="A168" s="4" t="s">
        <v>62</v>
      </c>
      <c r="B168" t="s">
        <v>191</v>
      </c>
    </row>
    <row r="169" spans="1:2" x14ac:dyDescent="0.3">
      <c r="A169" s="4" t="s">
        <v>25</v>
      </c>
      <c r="B169" t="s">
        <v>191</v>
      </c>
    </row>
    <row r="170" spans="1:2" x14ac:dyDescent="0.3">
      <c r="A170" s="4" t="s">
        <v>35</v>
      </c>
      <c r="B170" t="s">
        <v>191</v>
      </c>
    </row>
    <row r="171" spans="1:2" x14ac:dyDescent="0.3">
      <c r="A171" s="4" t="s">
        <v>26</v>
      </c>
      <c r="B171" t="s">
        <v>191</v>
      </c>
    </row>
    <row r="172" spans="1:2" x14ac:dyDescent="0.3">
      <c r="A172" s="4" t="s">
        <v>18</v>
      </c>
      <c r="B172" t="s">
        <v>191</v>
      </c>
    </row>
    <row r="173" spans="1:2" x14ac:dyDescent="0.3">
      <c r="A173" s="4" t="s">
        <v>29</v>
      </c>
      <c r="B173" t="s">
        <v>195</v>
      </c>
    </row>
    <row r="174" spans="1:2" x14ac:dyDescent="0.3">
      <c r="A174" s="4" t="s">
        <v>123</v>
      </c>
      <c r="B174" t="s">
        <v>195</v>
      </c>
    </row>
    <row r="175" spans="1:2" x14ac:dyDescent="0.3">
      <c r="A175" s="4" t="s">
        <v>46</v>
      </c>
      <c r="B175" t="s">
        <v>187</v>
      </c>
    </row>
    <row r="176" spans="1:2" x14ac:dyDescent="0.3">
      <c r="A176" s="4" t="s">
        <v>51</v>
      </c>
      <c r="B176" t="s">
        <v>191</v>
      </c>
    </row>
    <row r="177" spans="1:2" x14ac:dyDescent="0.3">
      <c r="A177" s="4" t="s">
        <v>140</v>
      </c>
      <c r="B177" t="s">
        <v>191</v>
      </c>
    </row>
    <row r="178" spans="1:2" x14ac:dyDescent="0.3">
      <c r="A178" s="4" t="s">
        <v>96</v>
      </c>
      <c r="B178" t="s">
        <v>191</v>
      </c>
    </row>
    <row r="179" spans="1:2" x14ac:dyDescent="0.3">
      <c r="A179" s="4" t="s">
        <v>139</v>
      </c>
      <c r="B179" t="s">
        <v>191</v>
      </c>
    </row>
    <row r="180" spans="1:2" x14ac:dyDescent="0.3">
      <c r="A180" s="4" t="s">
        <v>178</v>
      </c>
      <c r="B180" t="s">
        <v>191</v>
      </c>
    </row>
    <row r="181" spans="1:2" x14ac:dyDescent="0.3">
      <c r="A181" s="4" t="s">
        <v>85</v>
      </c>
      <c r="B181" t="s">
        <v>187</v>
      </c>
    </row>
    <row r="182" spans="1:2" x14ac:dyDescent="0.3">
      <c r="A182" s="4" t="s">
        <v>34</v>
      </c>
      <c r="B182" t="s">
        <v>187</v>
      </c>
    </row>
    <row r="183" spans="1:2" x14ac:dyDescent="0.3">
      <c r="A183" s="4" t="s">
        <v>95</v>
      </c>
      <c r="B183" t="s">
        <v>195</v>
      </c>
    </row>
    <row r="184" spans="1:2" x14ac:dyDescent="0.3">
      <c r="A184" s="4" t="s">
        <v>181</v>
      </c>
      <c r="B184" t="s">
        <v>195</v>
      </c>
    </row>
    <row r="185" spans="1:2" x14ac:dyDescent="0.3">
      <c r="A185" s="4" t="s">
        <v>33</v>
      </c>
      <c r="B185" t="s">
        <v>191</v>
      </c>
    </row>
    <row r="186" spans="1:2" x14ac:dyDescent="0.3">
      <c r="A186" s="4" t="s">
        <v>159</v>
      </c>
      <c r="B186" t="s">
        <v>191</v>
      </c>
    </row>
    <row r="187" spans="1:2" x14ac:dyDescent="0.3">
      <c r="A187" s="4" t="s">
        <v>94</v>
      </c>
      <c r="B187" t="s">
        <v>191</v>
      </c>
    </row>
    <row r="188" spans="1:2" x14ac:dyDescent="0.3">
      <c r="A188" s="4" t="s">
        <v>55</v>
      </c>
      <c r="B188" t="s">
        <v>191</v>
      </c>
    </row>
    <row r="189" spans="1:2" x14ac:dyDescent="0.3">
      <c r="A189" s="4" t="s">
        <v>84</v>
      </c>
      <c r="B189" t="s">
        <v>191</v>
      </c>
    </row>
    <row r="190" spans="1:2" x14ac:dyDescent="0.3">
      <c r="A190" s="5" t="s">
        <v>44</v>
      </c>
      <c r="B190" s="6" t="s">
        <v>195</v>
      </c>
    </row>
    <row r="191" spans="1:2" x14ac:dyDescent="0.3">
      <c r="A191" s="5" t="s">
        <v>43</v>
      </c>
      <c r="B191" s="6" t="s">
        <v>187</v>
      </c>
    </row>
    <row r="192" spans="1:2" x14ac:dyDescent="0.3">
      <c r="A192" s="5" t="s">
        <v>86</v>
      </c>
      <c r="B192" s="6" t="s">
        <v>187</v>
      </c>
    </row>
    <row r="193" spans="1:2" x14ac:dyDescent="0.3">
      <c r="A193" s="5" t="s">
        <v>52</v>
      </c>
      <c r="B193" s="6" t="s">
        <v>187</v>
      </c>
    </row>
    <row r="194" spans="1:2" x14ac:dyDescent="0.3">
      <c r="A194" s="5" t="s">
        <v>48</v>
      </c>
      <c r="B194" s="6" t="s">
        <v>195</v>
      </c>
    </row>
    <row r="195" spans="1:2" x14ac:dyDescent="0.3">
      <c r="A195" s="3" t="s">
        <v>60</v>
      </c>
      <c r="B195" s="6" t="s">
        <v>187</v>
      </c>
    </row>
    <row r="196" spans="1:2" x14ac:dyDescent="0.3">
      <c r="A196" s="3" t="s">
        <v>38</v>
      </c>
      <c r="B196" s="6" t="s">
        <v>195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A691FA-8282-43D5-A3A6-CF502CAE1C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Summary</vt:lpstr>
      <vt:lpstr>Junho 2025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Miranda</dc:creator>
  <cp:lastModifiedBy>Beatriz Melo</cp:lastModifiedBy>
  <dcterms:created xsi:type="dcterms:W3CDTF">2025-07-04T17:40:09Z</dcterms:created>
  <dcterms:modified xsi:type="dcterms:W3CDTF">2025-07-08T14:35:43Z</dcterms:modified>
</cp:coreProperties>
</file>