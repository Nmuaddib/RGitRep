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\RGitRep\Docs\"/>
    </mc:Choice>
  </mc:AlternateContent>
  <xr:revisionPtr revIDLastSave="0" documentId="13_ncr:1_{5D0F5000-BA65-48C6-853E-2E97BF58C3C4}" xr6:coauthVersionLast="47" xr6:coauthVersionMax="47" xr10:uidLastSave="{00000000-0000-0000-0000-000000000000}"/>
  <bookViews>
    <workbookView xWindow="5805" yWindow="1935" windowWidth="19815" windowHeight="11805" xr2:uid="{C50BC428-7ADB-464C-8292-052325D814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" i="1" l="1"/>
  <c r="I22" i="1" s="1"/>
  <c r="J22" i="1"/>
  <c r="K22" i="1"/>
  <c r="L22" i="1"/>
  <c r="M22" i="1"/>
  <c r="N22" i="1"/>
  <c r="O22" i="1"/>
  <c r="P22" i="1"/>
  <c r="D2" i="1"/>
  <c r="F2" i="1" s="1"/>
  <c r="I23" i="1" l="1"/>
  <c r="P23" i="1"/>
  <c r="L23" i="1"/>
  <c r="O23" i="1"/>
  <c r="K23" i="1"/>
  <c r="J23" i="1"/>
  <c r="N23" i="1"/>
  <c r="M23" i="1"/>
</calcChain>
</file>

<file path=xl/sharedStrings.xml><?xml version="1.0" encoding="utf-8"?>
<sst xmlns="http://schemas.openxmlformats.org/spreadsheetml/2006/main" count="38" uniqueCount="37">
  <si>
    <t>Aluguel</t>
  </si>
  <si>
    <t>Moto</t>
  </si>
  <si>
    <t>Seguro</t>
  </si>
  <si>
    <t>Pensão</t>
  </si>
  <si>
    <t>Pai</t>
  </si>
  <si>
    <t>Ranger</t>
  </si>
  <si>
    <t>Convenio</t>
  </si>
  <si>
    <t>Luz</t>
  </si>
  <si>
    <t>Terapia</t>
  </si>
  <si>
    <t>Impostos</t>
  </si>
  <si>
    <t>Contas Fixas</t>
  </si>
  <si>
    <t>Total</t>
  </si>
  <si>
    <t>Salario médio</t>
  </si>
  <si>
    <t>Cartão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</si>
  <si>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</si>
  <si>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</si>
  <si>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</si>
  <si>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</si>
  <si>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</si>
  <si>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</si>
  <si>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</si>
  <si>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</si>
  <si>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Netflix</t>
  </si>
  <si>
    <t>Microsoft</t>
  </si>
  <si>
    <t>Prime</t>
  </si>
  <si>
    <t>Crunchy</t>
  </si>
  <si>
    <t>Apple</t>
  </si>
  <si>
    <t>Spotify</t>
  </si>
  <si>
    <t>Youtube</t>
  </si>
  <si>
    <t>Saldo Cartão</t>
  </si>
  <si>
    <t>Saldo real</t>
  </si>
  <si>
    <t>Reccorrentes</t>
  </si>
  <si>
    <t>Grão Gourmet</t>
  </si>
  <si>
    <t>Utilizado Extra</t>
  </si>
  <si>
    <t>Parcelas</t>
  </si>
  <si>
    <t>Celular</t>
  </si>
  <si>
    <t>Tarifa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</si>
</sst>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2" fontId="0" fillId="0" borderId="0" xfId="0" applyNumberFormat="1"/>
    <xf numFmtId="43" fontId="0" fillId="0" borderId="2" xfId="1" applyFont="1" applyBorder="1"/>
    <xf numFmtId="43" fontId="0" fillId="0" borderId="3" xfId="1" applyFont="1" applyBorder="1"/>
    <xf numFmtId="43" fontId="0" fillId="0" borderId="0" xfId="1" applyFont="1" applyBorder="1"/>
    <xf numFmtId="43" fontId="0" fillId="0" borderId="5" xfId="1" applyFont="1" applyBorder="1"/>
    <xf numFmtId="43" fontId="0" fillId="0" borderId="7" xfId="1" applyFont="1" applyBorder="1"/>
    <xf numFmtId="43" fontId="0" fillId="0" borderId="8" xfId="1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  <xf numFmtId="0" fontId="0" fillId="2" borderId="9" xfId="0" applyFill="1" applyBorder="1"/>
    <xf numFmtId="43" fontId="0" fillId="3" borderId="10" xfId="1" applyFont="1" applyFill="1" applyBorder="1"/>
    <xf numFmtId="43" fontId="0" fillId="3" borderId="11" xfId="1" applyFont="1" applyFill="1" applyBorder="1"/>
    <xf numFmtId="0" fontId="0" fillId="2" borderId="12" xfId="0" applyFill="1" applyBorder="1"/>
    <xf numFmtId="43" fontId="2" fillId="2" borderId="13" xfId="1" applyFont="1" applyFill="1" applyBorder="1"/>
    <xf numFmtId="43" fontId="2" fillId="2" borderId="14" xfId="1" applyFont="1" applyFill="1" applyBorder="1"/>
    <xf numFmtId="0" fontId="2" fillId="2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2" fontId="2" fillId="2" borderId="9" xfId="0" applyNumberFormat="1" applyFont="1" applyFill="1" applyBorder="1"/>
    <xf numFmtId="0" fontId="0" fillId="0" borderId="2" xfId="0" applyBorder="1"/>
    <xf numFmtId="43" fontId="2" fillId="0" borderId="0" xfId="1" applyFont="1" applyBorder="1"/>
    <xf numFmtId="0" fontId="0" fillId="0" borderId="0" xfId="0" applyBorder="1"/>
    <xf numFmtId="0" fontId="2" fillId="0" borderId="0" xfId="0" applyFont="1" applyBorder="1"/>
    <xf numFmtId="2" fontId="0" fillId="0" borderId="4" xfId="0" applyNumberFormat="1" applyBorder="1"/>
    <xf numFmtId="2" fontId="0" fillId="0" borderId="6" xfId="0" applyNumberFormat="1" applyBorder="1"/>
    <xf numFmtId="0" fontId="0" fillId="0" borderId="7" xfId="0" applyBorder="1"/>
    <xf numFmtId="0" fontId="2" fillId="0" borderId="15" xfId="0" applyFont="1" applyBorder="1"/>
    <xf numFmtId="43" fontId="2" fillId="0" borderId="16" xfId="1" applyFont="1" applyBorder="1"/>
    <xf numFmtId="43" fontId="2" fillId="0" borderId="17" xfId="1" applyFont="1" applyBorder="1"/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0CCA-2B2A-4CAB-BBA8-DC21A77D5C0E}">
  <dimension ref="B1:P23"/>
  <sheetViews>
    <sheetView tabSelected="1" workbookViewId="0">
      <selection activeCell="D15" sqref="D15"/>
    </sheetView>
  </sheetViews>
  <sheetFormatPr defaultRowHeight="15" x14ac:dyDescent="0.25"/>
  <cols>
    <col min="2" max="2" width="12.140625" style="1" bestFit="1" customWidth="1"/>
    <col min="3" max="3" width="9.5703125" bestFit="1" customWidth="1"/>
    <col min="4" max="4" width="10.5703125" bestFit="1" customWidth="1"/>
    <col min="5" max="5" width="13.5703125" bestFit="1" customWidth="1"/>
    <col min="6" max="6" width="12.28515625" bestFit="1" customWidth="1"/>
    <col min="8" max="8" width="13.85546875" bestFit="1" customWidth="1"/>
    <col min="9" max="16" width="10.140625" customWidth="1"/>
  </cols>
  <sheetData>
    <row r="1" spans="2:16" x14ac:dyDescent="0.25">
      <c r="B1" s="20" t="s">
        <v>10</v>
      </c>
      <c r="C1" s="18"/>
      <c r="D1" s="18" t="s">
        <v>11</v>
      </c>
      <c r="E1" s="18" t="s">
        <v>12</v>
      </c>
      <c r="F1" s="18" t="s">
        <v>29</v>
      </c>
      <c r="G1" s="21"/>
      <c r="H1" s="17" t="s">
        <v>13</v>
      </c>
      <c r="I1" s="18" t="s">
        <v>14</v>
      </c>
      <c r="J1" s="18" t="s">
        <v>15</v>
      </c>
      <c r="K1" s="18" t="s">
        <v>16</v>
      </c>
      <c r="L1" s="18" t="s">
        <v>17</v>
      </c>
      <c r="M1" s="18" t="s">
        <v>18</v>
      </c>
      <c r="N1" s="18" t="s">
        <v>19</v>
      </c>
      <c r="O1" s="18" t="s">
        <v>20</v>
      </c>
      <c r="P1" s="19" t="s">
        <v>21</v>
      </c>
    </row>
    <row r="2" spans="2:16" x14ac:dyDescent="0.25">
      <c r="B2" s="9" t="s">
        <v>0</v>
      </c>
      <c r="C2" s="4">
        <v>3200</v>
      </c>
      <c r="D2" s="4">
        <f>SUM(C:C)</f>
        <v>17022.45</v>
      </c>
      <c r="E2" s="4">
        <v>21000</v>
      </c>
      <c r="F2" s="22">
        <f>E2-D2</f>
        <v>3977.5499999999993</v>
      </c>
      <c r="G2" s="23"/>
      <c r="H2" s="31" t="s">
        <v>34</v>
      </c>
      <c r="I2" s="4">
        <v>35</v>
      </c>
      <c r="J2" s="4">
        <v>35</v>
      </c>
      <c r="K2" s="4"/>
      <c r="L2" s="4"/>
      <c r="M2" s="4"/>
      <c r="N2" s="4"/>
      <c r="O2" s="4"/>
      <c r="P2" s="5"/>
    </row>
    <row r="3" spans="2:16" x14ac:dyDescent="0.25">
      <c r="B3" s="9" t="s">
        <v>1</v>
      </c>
      <c r="C3" s="4">
        <v>1450</v>
      </c>
      <c r="D3" s="4"/>
      <c r="E3" s="4"/>
      <c r="F3" s="4"/>
      <c r="G3" s="23"/>
      <c r="H3" s="32"/>
      <c r="I3" s="4">
        <v>300</v>
      </c>
      <c r="J3" s="4">
        <v>300</v>
      </c>
      <c r="K3" s="4"/>
      <c r="L3" s="4"/>
      <c r="M3" s="4"/>
      <c r="N3" s="4"/>
      <c r="O3" s="4"/>
      <c r="P3" s="5"/>
    </row>
    <row r="4" spans="2:16" x14ac:dyDescent="0.25">
      <c r="B4" s="9" t="s">
        <v>2</v>
      </c>
      <c r="C4" s="4">
        <v>170</v>
      </c>
      <c r="D4" s="4"/>
      <c r="E4" s="4"/>
      <c r="F4" s="4"/>
      <c r="G4" s="23"/>
      <c r="H4" s="32"/>
      <c r="I4" s="4">
        <v>95</v>
      </c>
      <c r="J4" s="4"/>
      <c r="K4" s="4"/>
      <c r="L4" s="4"/>
      <c r="M4" s="4"/>
      <c r="N4" s="4"/>
      <c r="O4" s="4"/>
      <c r="P4" s="5"/>
    </row>
    <row r="5" spans="2:16" x14ac:dyDescent="0.25">
      <c r="B5" s="9" t="s">
        <v>3</v>
      </c>
      <c r="C5" s="4">
        <v>4150.45</v>
      </c>
      <c r="D5" s="4"/>
      <c r="E5" s="4"/>
      <c r="F5" s="4"/>
      <c r="G5" s="23"/>
      <c r="H5" s="32"/>
      <c r="I5" s="4">
        <v>40</v>
      </c>
      <c r="J5" s="4">
        <v>40</v>
      </c>
      <c r="K5" s="4">
        <v>40</v>
      </c>
      <c r="L5" s="4"/>
      <c r="M5" s="4"/>
      <c r="N5" s="4"/>
      <c r="O5" s="4"/>
      <c r="P5" s="5"/>
    </row>
    <row r="6" spans="2:16" x14ac:dyDescent="0.25">
      <c r="B6" s="9" t="s">
        <v>4</v>
      </c>
      <c r="C6" s="4">
        <v>2000</v>
      </c>
      <c r="D6" s="4"/>
      <c r="E6" s="4"/>
      <c r="F6" s="4"/>
      <c r="G6" s="23"/>
      <c r="H6" s="32"/>
      <c r="I6" s="4">
        <v>155</v>
      </c>
      <c r="J6" s="4">
        <v>155</v>
      </c>
      <c r="K6" s="4">
        <v>155</v>
      </c>
      <c r="L6" s="4">
        <v>155</v>
      </c>
      <c r="M6" s="4">
        <v>155</v>
      </c>
      <c r="N6" s="4">
        <v>155</v>
      </c>
      <c r="O6" s="4">
        <v>155</v>
      </c>
      <c r="P6" s="5"/>
    </row>
    <row r="7" spans="2:16" x14ac:dyDescent="0.25">
      <c r="B7" s="9" t="s">
        <v>5</v>
      </c>
      <c r="C7" s="4">
        <v>1040</v>
      </c>
      <c r="D7" s="4"/>
      <c r="E7" s="4"/>
      <c r="F7" s="4"/>
      <c r="G7" s="23"/>
      <c r="H7" s="32"/>
      <c r="I7" s="4">
        <v>198</v>
      </c>
      <c r="J7" s="4"/>
      <c r="K7" s="4"/>
      <c r="L7" s="4"/>
      <c r="M7" s="4"/>
      <c r="N7" s="4"/>
      <c r="O7" s="4"/>
      <c r="P7" s="5"/>
    </row>
    <row r="8" spans="2:16" x14ac:dyDescent="0.25">
      <c r="B8" s="9" t="s">
        <v>6</v>
      </c>
      <c r="C8" s="4">
        <v>750</v>
      </c>
      <c r="D8" s="4"/>
      <c r="E8" s="4"/>
      <c r="F8" s="4"/>
      <c r="G8" s="23"/>
      <c r="H8" s="32"/>
      <c r="I8" s="4">
        <v>466</v>
      </c>
      <c r="J8" s="4">
        <v>466</v>
      </c>
      <c r="K8" s="4"/>
      <c r="L8" s="4"/>
      <c r="M8" s="4"/>
      <c r="N8" s="4"/>
      <c r="O8" s="4"/>
      <c r="P8" s="5"/>
    </row>
    <row r="9" spans="2:16" x14ac:dyDescent="0.25">
      <c r="B9" s="9" t="s">
        <v>7</v>
      </c>
      <c r="C9" s="4">
        <v>280</v>
      </c>
      <c r="D9" s="4"/>
      <c r="E9" s="4"/>
      <c r="F9" s="4"/>
      <c r="G9" s="23"/>
      <c r="H9" s="32"/>
      <c r="I9" s="4">
        <v>137</v>
      </c>
      <c r="J9" s="4">
        <v>137</v>
      </c>
      <c r="K9" s="4">
        <v>137</v>
      </c>
      <c r="L9" s="4">
        <v>137</v>
      </c>
      <c r="M9" s="4"/>
      <c r="N9" s="4"/>
      <c r="O9" s="4"/>
      <c r="P9" s="5"/>
    </row>
    <row r="10" spans="2:16" x14ac:dyDescent="0.25">
      <c r="B10" s="9" t="s">
        <v>8</v>
      </c>
      <c r="C10" s="4">
        <v>400</v>
      </c>
      <c r="D10" s="4"/>
      <c r="E10" s="4"/>
      <c r="F10" s="4"/>
      <c r="G10" s="23"/>
      <c r="H10" s="32"/>
      <c r="I10" s="4">
        <v>190</v>
      </c>
      <c r="J10" s="4">
        <v>190</v>
      </c>
      <c r="K10" s="4">
        <v>190</v>
      </c>
      <c r="L10" s="4">
        <v>190</v>
      </c>
      <c r="M10" s="4">
        <v>190</v>
      </c>
      <c r="N10" s="4">
        <v>190</v>
      </c>
      <c r="O10" s="4">
        <v>190</v>
      </c>
      <c r="P10" s="5"/>
    </row>
    <row r="11" spans="2:16" ht="15.75" thickBot="1" x14ac:dyDescent="0.3">
      <c r="B11" s="9" t="s">
        <v>9</v>
      </c>
      <c r="C11" s="4">
        <v>3300</v>
      </c>
      <c r="D11" s="4"/>
      <c r="E11" s="4"/>
      <c r="F11" s="4"/>
      <c r="G11" s="23"/>
      <c r="H11" s="33"/>
      <c r="I11" s="6">
        <v>190</v>
      </c>
      <c r="J11" s="6">
        <v>190</v>
      </c>
      <c r="K11" s="6">
        <v>190</v>
      </c>
      <c r="L11" s="6">
        <v>190</v>
      </c>
      <c r="M11" s="6">
        <v>190</v>
      </c>
      <c r="N11" s="6">
        <v>190</v>
      </c>
      <c r="O11" s="6">
        <v>190</v>
      </c>
      <c r="P11" s="7"/>
    </row>
    <row r="12" spans="2:16" ht="15.75" thickBot="1" x14ac:dyDescent="0.3">
      <c r="B12" s="9" t="s">
        <v>35</v>
      </c>
      <c r="C12" s="4">
        <v>210</v>
      </c>
      <c r="D12" s="4"/>
      <c r="E12" s="4"/>
      <c r="F12" s="4"/>
      <c r="G12" s="23"/>
      <c r="H12" s="28" t="s">
        <v>33</v>
      </c>
      <c r="I12" s="29">
        <f>118+796</f>
        <v>914</v>
      </c>
      <c r="J12" s="29"/>
      <c r="K12" s="29"/>
      <c r="L12" s="29"/>
      <c r="M12" s="29"/>
      <c r="N12" s="29"/>
      <c r="O12" s="29"/>
      <c r="P12" s="30"/>
    </row>
    <row r="13" spans="2:16" ht="15.75" thickBot="1" x14ac:dyDescent="0.3">
      <c r="B13" s="9" t="s">
        <v>36</v>
      </c>
      <c r="C13" s="4">
        <v>72</v>
      </c>
      <c r="D13" s="4"/>
      <c r="E13" s="4"/>
      <c r="F13" s="4"/>
      <c r="G13" s="23"/>
      <c r="H13" s="24" t="s">
        <v>31</v>
      </c>
      <c r="I13" s="4"/>
      <c r="J13" s="4"/>
      <c r="K13" s="4"/>
      <c r="L13" s="4"/>
      <c r="M13" s="4"/>
      <c r="N13" s="4"/>
      <c r="O13" s="4"/>
      <c r="P13" s="5"/>
    </row>
    <row r="14" spans="2:16" x14ac:dyDescent="0.25">
      <c r="B14" s="25"/>
      <c r="C14" s="23"/>
      <c r="D14" s="23"/>
      <c r="E14" s="23"/>
      <c r="F14" s="23"/>
      <c r="G14" s="23"/>
      <c r="H14" s="8" t="s">
        <v>23</v>
      </c>
      <c r="I14" s="2">
        <v>63</v>
      </c>
      <c r="J14" s="2">
        <v>63</v>
      </c>
      <c r="K14" s="2">
        <v>63</v>
      </c>
      <c r="L14" s="2">
        <v>63</v>
      </c>
      <c r="M14" s="2">
        <v>63</v>
      </c>
      <c r="N14" s="2">
        <v>63</v>
      </c>
      <c r="O14" s="2">
        <v>63</v>
      </c>
      <c r="P14" s="3">
        <v>63</v>
      </c>
    </row>
    <row r="15" spans="2:16" x14ac:dyDescent="0.25">
      <c r="B15" s="25"/>
      <c r="C15" s="23"/>
      <c r="D15" s="23"/>
      <c r="E15" s="23"/>
      <c r="F15" s="23"/>
      <c r="G15" s="23"/>
      <c r="H15" s="9" t="s">
        <v>22</v>
      </c>
      <c r="I15" s="4">
        <v>60</v>
      </c>
      <c r="J15" s="4">
        <v>60</v>
      </c>
      <c r="K15" s="4">
        <v>60</v>
      </c>
      <c r="L15" s="4">
        <v>60</v>
      </c>
      <c r="M15" s="4">
        <v>60</v>
      </c>
      <c r="N15" s="4">
        <v>60</v>
      </c>
      <c r="O15" s="4">
        <v>60</v>
      </c>
      <c r="P15" s="5">
        <v>60</v>
      </c>
    </row>
    <row r="16" spans="2:16" x14ac:dyDescent="0.25">
      <c r="B16" s="25"/>
      <c r="C16" s="23"/>
      <c r="D16" s="23"/>
      <c r="E16" s="23"/>
      <c r="F16" s="23"/>
      <c r="G16" s="23"/>
      <c r="H16" s="9" t="s">
        <v>32</v>
      </c>
      <c r="I16" s="4">
        <v>96</v>
      </c>
      <c r="J16" s="4">
        <v>96</v>
      </c>
      <c r="K16" s="4">
        <v>96</v>
      </c>
      <c r="L16" s="4">
        <v>96</v>
      </c>
      <c r="M16" s="4">
        <v>96</v>
      </c>
      <c r="N16" s="4">
        <v>96</v>
      </c>
      <c r="O16" s="4">
        <v>96</v>
      </c>
      <c r="P16" s="5">
        <v>96</v>
      </c>
    </row>
    <row r="17" spans="2:16" x14ac:dyDescent="0.25">
      <c r="B17" s="25"/>
      <c r="C17" s="23"/>
      <c r="D17" s="23"/>
      <c r="E17" s="23"/>
      <c r="F17" s="23"/>
      <c r="G17" s="23"/>
      <c r="H17" s="9" t="s">
        <v>24</v>
      </c>
      <c r="I17" s="4">
        <v>45</v>
      </c>
      <c r="J17" s="4">
        <v>45</v>
      </c>
      <c r="K17" s="4">
        <v>45</v>
      </c>
      <c r="L17" s="4">
        <v>45</v>
      </c>
      <c r="M17" s="4">
        <v>45</v>
      </c>
      <c r="N17" s="4">
        <v>45</v>
      </c>
      <c r="O17" s="4">
        <v>45</v>
      </c>
      <c r="P17" s="5">
        <v>45</v>
      </c>
    </row>
    <row r="18" spans="2:16" x14ac:dyDescent="0.25">
      <c r="B18" s="25"/>
      <c r="C18" s="23"/>
      <c r="D18" s="23"/>
      <c r="E18" s="23"/>
      <c r="F18" s="23"/>
      <c r="G18" s="23"/>
      <c r="H18" s="9" t="s">
        <v>25</v>
      </c>
      <c r="I18" s="4">
        <v>25</v>
      </c>
      <c r="J18" s="4">
        <v>25</v>
      </c>
      <c r="K18" s="4">
        <v>25</v>
      </c>
      <c r="L18" s="4">
        <v>25</v>
      </c>
      <c r="M18" s="4">
        <v>25</v>
      </c>
      <c r="N18" s="4">
        <v>25</v>
      </c>
      <c r="O18" s="4">
        <v>25</v>
      </c>
      <c r="P18" s="5">
        <v>25</v>
      </c>
    </row>
    <row r="19" spans="2:16" x14ac:dyDescent="0.25">
      <c r="B19" s="25"/>
      <c r="C19" s="23"/>
      <c r="D19" s="23"/>
      <c r="E19" s="23"/>
      <c r="F19" s="23"/>
      <c r="G19" s="23"/>
      <c r="H19" s="9" t="s">
        <v>26</v>
      </c>
      <c r="I19" s="4">
        <v>24</v>
      </c>
      <c r="J19" s="4">
        <v>24</v>
      </c>
      <c r="K19" s="4">
        <v>24</v>
      </c>
      <c r="L19" s="4">
        <v>24</v>
      </c>
      <c r="M19" s="4">
        <v>24</v>
      </c>
      <c r="N19" s="4">
        <v>24</v>
      </c>
      <c r="O19" s="4">
        <v>24</v>
      </c>
      <c r="P19" s="5">
        <v>24</v>
      </c>
    </row>
    <row r="20" spans="2:16" x14ac:dyDescent="0.25">
      <c r="B20" s="25"/>
      <c r="C20" s="23"/>
      <c r="D20" s="23"/>
      <c r="E20" s="23"/>
      <c r="F20" s="23"/>
      <c r="G20" s="23"/>
      <c r="H20" s="9" t="s">
        <v>27</v>
      </c>
      <c r="I20" s="4">
        <v>41</v>
      </c>
      <c r="J20" s="4">
        <v>41</v>
      </c>
      <c r="K20" s="4">
        <v>41</v>
      </c>
      <c r="L20" s="4">
        <v>41</v>
      </c>
      <c r="M20" s="4">
        <v>41</v>
      </c>
      <c r="N20" s="4">
        <v>41</v>
      </c>
      <c r="O20" s="4">
        <v>41</v>
      </c>
      <c r="P20" s="5">
        <v>41</v>
      </c>
    </row>
    <row r="21" spans="2:16" ht="15.75" thickBot="1" x14ac:dyDescent="0.3">
      <c r="B21" s="25"/>
      <c r="C21" s="23"/>
      <c r="D21" s="23"/>
      <c r="E21" s="23"/>
      <c r="F21" s="23"/>
      <c r="G21" s="23"/>
      <c r="H21" s="10" t="s">
        <v>28</v>
      </c>
      <c r="I21" s="6">
        <v>27</v>
      </c>
      <c r="J21" s="6">
        <v>27</v>
      </c>
      <c r="K21" s="6">
        <v>27</v>
      </c>
      <c r="L21" s="6">
        <v>27</v>
      </c>
      <c r="M21" s="6">
        <v>27</v>
      </c>
      <c r="N21" s="6">
        <v>27</v>
      </c>
      <c r="O21" s="6">
        <v>27</v>
      </c>
      <c r="P21" s="7">
        <v>27</v>
      </c>
    </row>
    <row r="22" spans="2:16" x14ac:dyDescent="0.25">
      <c r="B22" s="25"/>
      <c r="C22" s="23"/>
      <c r="D22" s="23"/>
      <c r="E22" s="23"/>
      <c r="F22" s="23"/>
      <c r="G22" s="23"/>
      <c r="H22" s="11" t="s">
        <v>11</v>
      </c>
      <c r="I22" s="12">
        <f>SUM(I2:I21)</f>
        <v>3101</v>
      </c>
      <c r="J22" s="12">
        <f t="shared" ref="J22:P22" si="0">SUM(J2:J21)</f>
        <v>1894</v>
      </c>
      <c r="K22" s="12">
        <f t="shared" si="0"/>
        <v>1093</v>
      </c>
      <c r="L22" s="12">
        <f t="shared" si="0"/>
        <v>1053</v>
      </c>
      <c r="M22" s="12">
        <f t="shared" si="0"/>
        <v>916</v>
      </c>
      <c r="N22" s="12">
        <f t="shared" si="0"/>
        <v>916</v>
      </c>
      <c r="O22" s="12">
        <f t="shared" si="0"/>
        <v>916</v>
      </c>
      <c r="P22" s="13">
        <f t="shared" si="0"/>
        <v>381</v>
      </c>
    </row>
    <row r="23" spans="2:16" ht="15.75" thickBot="1" x14ac:dyDescent="0.3">
      <c r="B23" s="26"/>
      <c r="C23" s="27"/>
      <c r="D23" s="27"/>
      <c r="E23" s="27"/>
      <c r="F23" s="27"/>
      <c r="G23" s="27"/>
      <c r="H23" s="14" t="s">
        <v>30</v>
      </c>
      <c r="I23" s="15">
        <f>$F$2-I22</f>
        <v>876.54999999999927</v>
      </c>
      <c r="J23" s="15">
        <f t="shared" ref="J23:P23" si="1">$F$2-J22</f>
        <v>2083.5499999999993</v>
      </c>
      <c r="K23" s="15">
        <f t="shared" si="1"/>
        <v>2884.5499999999993</v>
      </c>
      <c r="L23" s="15">
        <f t="shared" si="1"/>
        <v>2924.5499999999993</v>
      </c>
      <c r="M23" s="15">
        <f t="shared" si="1"/>
        <v>3061.5499999999993</v>
      </c>
      <c r="N23" s="15">
        <f t="shared" si="1"/>
        <v>3061.5499999999993</v>
      </c>
      <c r="O23" s="15">
        <f t="shared" si="1"/>
        <v>3061.5499999999993</v>
      </c>
      <c r="P23" s="16">
        <f t="shared" si="1"/>
        <v>3596.5499999999993</v>
      </c>
    </row>
  </sheetData>
  <mergeCells count="1">
    <mergeCell ref="H2:H11"/>
  </mergeCells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Simões</dc:creator>
  <cp:lastModifiedBy>Nelson Simões</cp:lastModifiedBy>
  <dcterms:created xsi:type="dcterms:W3CDTF">2026-05-22T08:52:02Z</dcterms:created>
  <dcterms:modified xsi:type="dcterms:W3CDTF">2026-05-22T09:46:26Z</dcterms:modified>
</cp:coreProperties>
</file>